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2.xml" ContentType="application/vnd.openxmlformats-officedocument.spreadsheetml.queryTable+xml"/>
  <Override PartName="/xl/tables/table25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26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27.xml" ContentType="application/vnd.openxmlformats-officedocument.spreadsheetml.table+xml"/>
  <Override PartName="/xl/queryTables/queryTable5.xml" ContentType="application/vnd.openxmlformats-officedocument.spreadsheetml.queryTable+xml"/>
  <Override PartName="/xl/tables/table28.xml" ContentType="application/vnd.openxmlformats-officedocument.spreadsheetml.table+xml"/>
  <Override PartName="/xl/queryTables/queryTable6.xml" ContentType="application/vnd.openxmlformats-officedocument.spreadsheetml.queryTable+xml"/>
  <Override PartName="/xl/tables/table29.xml" ContentType="application/vnd.openxmlformats-officedocument.spreadsheetml.table+xml"/>
  <Override PartName="/xl/queryTables/queryTable7.xml" ContentType="application/vnd.openxmlformats-officedocument.spreadsheetml.queryTable+xml"/>
  <Override PartName="/xl/tables/table30.xml" ContentType="application/vnd.openxmlformats-officedocument.spreadsheetml.table+xml"/>
  <Override PartName="/xl/queryTables/queryTable8.xml" ContentType="application/vnd.openxmlformats-officedocument.spreadsheetml.queryTable+xml"/>
  <Override PartName="/xl/tables/table31.xml" ContentType="application/vnd.openxmlformats-officedocument.spreadsheetml.table+xml"/>
  <Override PartName="/xl/queryTables/queryTable9.xml" ContentType="application/vnd.openxmlformats-officedocument.spreadsheetml.query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0.xml" ContentType="application/vnd.openxmlformats-officedocument.spreadsheetml.queryTable+xml"/>
  <Override PartName="/xl/tables/table35.xml" ContentType="application/vnd.openxmlformats-officedocument.spreadsheetml.table+xml"/>
  <Override PartName="/xl/queryTables/queryTable11.xml" ContentType="application/vnd.openxmlformats-officedocument.spreadsheetml.queryTable+xml"/>
  <Override PartName="/xl/tables/table36.xml" ContentType="application/vnd.openxmlformats-officedocument.spreadsheetml.table+xml"/>
  <Override PartName="/xl/queryTables/queryTable12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3.xml" ContentType="application/vnd.openxmlformats-officedocument.spreadsheetml.queryTable+xml"/>
  <Override PartName="/xl/tables/table39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UI/images/logo.png" ContentType="image/.PNG"/>
  <Override PartName="/customUI/images/logo2.png" ContentType="image/.PNG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customUI2010RelID" Type="http://schemas.microsoft.com/office/2007/relationships/ui/extensibility" Target="customUI/customUI14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asolomennikov\Desktop\ID программ\2026\agenerator-app\"/>
    </mc:Choice>
  </mc:AlternateContent>
  <bookViews>
    <workbookView xWindow="-105" yWindow="-105" windowWidth="25815" windowHeight="13905" tabRatio="656" firstSheet="1" activeTab="4"/>
  </bookViews>
  <sheets>
    <sheet name="i" sheetId="26" r:id="rId1"/>
    <sheet name="Реквизиты" sheetId="3" r:id="rId2"/>
    <sheet name="Люди" sheetId="4" r:id="rId3"/>
    <sheet name="ГрафикИтог" sheetId="43" state="hidden" r:id="rId4"/>
    <sheet name="Настройки" sheetId="12" r:id="rId5"/>
    <sheet name="База актов" sheetId="1" r:id="rId6"/>
    <sheet name="Материалы" sheetId="5" r:id="rId7"/>
    <sheet name="Исп.схемы" sheetId="8" r:id="rId8"/>
    <sheet name="Протоколы" sheetId="10" r:id="rId9"/>
    <sheet name="РД" sheetId="45" r:id="rId10"/>
    <sheet name="Реестр ИД" sheetId="17" r:id="rId11"/>
    <sheet name="Шаблон" sheetId="28" state="hidden" r:id="rId12"/>
    <sheet name="Пролив" sheetId="36" state="hidden" r:id="rId13"/>
    <sheet name="АГИ" sheetId="37" state="hidden" r:id="rId14"/>
    <sheet name="АИИО" sheetId="41" state="hidden" r:id="rId15"/>
    <sheet name="ОтЭфД" sheetId="40" state="hidden" r:id="rId16"/>
    <sheet name="Промывка" sheetId="39" state="hidden" r:id="rId17"/>
    <sheet name="АПрОб" sheetId="38" state="hidden" r:id="rId18"/>
    <sheet name="НТД" sheetId="21" state="hidden" r:id="rId19"/>
    <sheet name="т_общие_данные_АВК" sheetId="24" state="hidden" r:id="rId20"/>
    <sheet name="т_АВК" sheetId="23" state="hidden" r:id="rId21"/>
    <sheet name="ЖВЗП" sheetId="22" r:id="rId22"/>
    <sheet name="ЖВК" sheetId="27" r:id="rId23"/>
    <sheet name="qРеестрПоАктам" sheetId="16" state="hidden" r:id="rId24"/>
    <sheet name="qРеестрПоТипам" sheetId="15" state="hidden" r:id="rId25"/>
    <sheet name="qВсеДанныеВАкт" sheetId="20" r:id="rId26"/>
    <sheet name="qАООК" sheetId="19" r:id="rId27"/>
    <sheet name="Справочники" sheetId="6" state="hidden" r:id="rId28"/>
    <sheet name="qПриложенияМатериалы" sheetId="13" state="hidden" r:id="rId29"/>
    <sheet name="qПриложенияСхемыПротоколы" sheetId="14" state="hidden" r:id="rId30"/>
  </sheets>
  <definedNames>
    <definedName name="_xlnm._FilterDatabase" localSheetId="6" hidden="1">Материалы!$A$1:$AE$967642</definedName>
    <definedName name="ExternalData_1" localSheetId="26" hidden="1">qАООК!$A$1:$P$2</definedName>
    <definedName name="ExternalData_1" localSheetId="28" hidden="1">qПриложенияМатериалы!$A$1:$F$9</definedName>
    <definedName name="ExternalData_1" localSheetId="24" hidden="1">qРеестрПоТипам!$A$1:$E$90</definedName>
    <definedName name="ExternalData_1" localSheetId="3" hidden="1">ГрафикИтог!$A$1:$K$2</definedName>
    <definedName name="ExternalData_1" localSheetId="21" hidden="1">ЖВЗП!$A$4:$K$9</definedName>
    <definedName name="ExternalData_1" localSheetId="27" hidden="1">Справочники!$H$1:$AV$13</definedName>
    <definedName name="ExternalData_2" localSheetId="25" hidden="1">qВсеДанныеВАкт!$A$1:$L$5</definedName>
    <definedName name="ExternalData_2" localSheetId="29" hidden="1">qПриложенияСхемыПротоколы!$A$1:$F$7</definedName>
    <definedName name="ExternalData_2" localSheetId="23" hidden="1">qРеестрПоАктам!$A$1:$E$103</definedName>
    <definedName name="ExternalData_2" localSheetId="22" hidden="1">ЖВК!$A$4:$J$9</definedName>
    <definedName name="ExternalData_2" localSheetId="27" hidden="1">Справочники!$AY$1:$AZ$3</definedName>
    <definedName name="ExternalData_2" localSheetId="20" hidden="1">т_АВК!$A$1:$Q$7</definedName>
    <definedName name="ExternalData_3" localSheetId="27" hidden="1">Справочники!$BC$1:$BE$6</definedName>
    <definedName name="ExternalData_3" localSheetId="19" hidden="1">т_общие_данные_АВК!$A$1:$D$7</definedName>
    <definedName name="RibbonPointer">Справочники!$A$2</definedName>
    <definedName name="АВК_в_АОСР" localSheetId="11">Настройки!$D$34</definedName>
    <definedName name="АВК_ГП_должность">Реквизиты!$B$30</definedName>
    <definedName name="АВК_должность_иной1">Реквизиты!$B$42</definedName>
    <definedName name="АВК_Зак_должность">Реквизиты!$B$38</definedName>
    <definedName name="АВК_код_строительства">Реквизиты!$B$27</definedName>
    <definedName name="АВК_СК_должность">Реквизиты!$B$34</definedName>
    <definedName name="адрес_объекта">Реквизиты!$B$5</definedName>
    <definedName name="АООК_перечислитьМатериалы">Настройки!$D$32</definedName>
    <definedName name="_xlnm.Print_Titles" localSheetId="21">ЖВЗП!$3:$4</definedName>
    <definedName name="мс1" localSheetId="11">Настройки!$B$7</definedName>
    <definedName name="мс1">Настройки!$B$7</definedName>
    <definedName name="мс10" localSheetId="11">Настройки!$K$7</definedName>
    <definedName name="мс10">Настройки!$K$7</definedName>
    <definedName name="мс11" localSheetId="11">Настройки!$L$7</definedName>
    <definedName name="мс11">Настройки!$L$7</definedName>
    <definedName name="мс12" localSheetId="11">Настройки!$M$7</definedName>
    <definedName name="мс12">Настройки!$M$7</definedName>
    <definedName name="мс13" localSheetId="11">Настройки!$N$7</definedName>
    <definedName name="мс13">Настройки!$N$7</definedName>
    <definedName name="мс2" localSheetId="11">Настройки!$C$7</definedName>
    <definedName name="мс2">Настройки!$C$7</definedName>
    <definedName name="мс3" localSheetId="11">Настройки!$D$7</definedName>
    <definedName name="мс3">Настройки!$D$7</definedName>
    <definedName name="мс4" localSheetId="11">Настройки!$E$7</definedName>
    <definedName name="мс4">Настройки!$E$7</definedName>
    <definedName name="мс5" localSheetId="11">Настройки!$F$7</definedName>
    <definedName name="мс5">Настройки!$F$7</definedName>
    <definedName name="мс6" localSheetId="11">Настройки!$G$7</definedName>
    <definedName name="мс6">Настройки!$G$7</definedName>
    <definedName name="мс7" localSheetId="11">Настройки!$H$7</definedName>
    <definedName name="мс7">Настройки!$H$7</definedName>
    <definedName name="мс8" localSheetId="11">Настройки!$I$7</definedName>
    <definedName name="мс8">Настройки!$I$7</definedName>
    <definedName name="мс9" localSheetId="11">Настройки!$J$7</definedName>
    <definedName name="мс9">Настройки!$J$7</definedName>
    <definedName name="название_объекта" localSheetId="11">Реквизиты!$B$4</definedName>
    <definedName name="название_объекта">Реквизиты!$B$4</definedName>
    <definedName name="название_объекта_АВК">Реквизиты!$B$26</definedName>
    <definedName name="наименование_генподрядчика">Реквизиты!$B$12</definedName>
    <definedName name="наименование_заказчика">Реквизиты!$B$8</definedName>
    <definedName name="наименование_подрядчика">Реквизиты!$B$20</definedName>
    <definedName name="наименование_проектировщика">Реквизиты!$B$16</definedName>
    <definedName name="НАСТР_АВК_в_АОСР">Настройки!$D$38</definedName>
    <definedName name="НАСТР_АВК_из_актов">Настройки!$D$69</definedName>
    <definedName name="НАСТР_АВК_название">Настройки!$B$73</definedName>
    <definedName name="НАСТР_блокировка_Актов">Настройки!$D$98</definedName>
    <definedName name="НАСТР_блокировка_Материалов">Настройки!$D$101</definedName>
    <definedName name="НАСТР_мат_АООК">Настройки!$D$35</definedName>
    <definedName name="НАСТР_назв_мат_п3">Настройки!$D$29</definedName>
    <definedName name="НАСТР_названия_мат_прил" localSheetId="11">Настройки!$D$46</definedName>
    <definedName name="НАСТР_названия_мат_прил">Настройки!$D$47</definedName>
    <definedName name="НАСТР_ОКНО_МАТ">Настройки!$D$75</definedName>
    <definedName name="НАСТР_Создать_ПДФ" localSheetId="11">Настройки!$D$43</definedName>
    <definedName name="НАСТР_Создать_ПДФ">Настройки!$D$44</definedName>
    <definedName name="НАСТР_страниц_прил">Настройки!$D$48</definedName>
    <definedName name="НАСТР_удал_АН">Настройки!$D$59</definedName>
    <definedName name="НАСТР_удал_ГП">Настройки!$D$53</definedName>
    <definedName name="НАСТР_удал_Иное">Настройки!$D$65</definedName>
    <definedName name="НАСТР_удал_Подр">Настройки!$D$62</definedName>
    <definedName name="НАСТР_удал_СКГП">Настройки!$D$56</definedName>
    <definedName name="реквизиты_генподрядчика">Реквизиты!$B$13</definedName>
    <definedName name="реквизиты_заказчика">Реквизиты!$B$9</definedName>
    <definedName name="реквизиты_подрядчика">Реквизиты!$B$21</definedName>
    <definedName name="реквизиты_проектировщика">Реквизиты!$B$17</definedName>
    <definedName name="СоздатьРеестрМатАОСР">Настройки!$D$25</definedName>
    <definedName name="СоздатьРеестрПрилАОСР">Настройки!$D$26</definedName>
    <definedName name="СоздатьРеестрСхемАООК_АОСР">Настройки!$D$33</definedName>
    <definedName name="ФИО_ГП_АВК">Реквизиты!$B$31</definedName>
    <definedName name="ФИО_Зак_АВК">Реквизиты!$B$39</definedName>
    <definedName name="ФИО_Ин1_АВК">Реквизиты!$B$43</definedName>
    <definedName name="ФИО_подписантов" localSheetId="11">Настройки!$D$40</definedName>
    <definedName name="ФИО_подписантов">Настройки!$D$41</definedName>
    <definedName name="ФИО_СК_АВК">Реквизиты!$B$35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L15" i="5"/>
  <c r="L14" i="5"/>
  <c r="L13" i="5"/>
  <c r="L12" i="5"/>
  <c r="L11" i="5"/>
  <c r="L10" i="5"/>
  <c r="L9" i="5"/>
  <c r="B70" i="12"/>
  <c r="B39" i="12"/>
  <c r="L6" i="5" l="1"/>
  <c r="L7" i="5"/>
  <c r="L8" i="5"/>
  <c r="B36" i="12" l="1"/>
  <c r="B57" i="12" l="1"/>
  <c r="B54" i="12"/>
  <c r="P3" i="1"/>
  <c r="P4" i="1"/>
  <c r="P5" i="1"/>
  <c r="P6" i="1"/>
  <c r="B50" i="12" l="1"/>
  <c r="A2" i="27" l="1"/>
  <c r="K2" i="27" s="1"/>
  <c r="A2" i="22"/>
  <c r="L2" i="22" s="1"/>
  <c r="O4" i="1"/>
  <c r="O3" i="1"/>
  <c r="O6" i="1"/>
  <c r="O5" i="1"/>
  <c r="N6" i="41" l="1"/>
  <c r="M6" i="41"/>
  <c r="L6" i="41"/>
  <c r="E6" i="41"/>
  <c r="N5" i="41"/>
  <c r="M5" i="41"/>
  <c r="L5" i="41"/>
  <c r="E5" i="41"/>
  <c r="N4" i="41"/>
  <c r="M4" i="41"/>
  <c r="L4" i="41"/>
  <c r="E4" i="41"/>
  <c r="R6" i="40"/>
  <c r="Q6" i="40"/>
  <c r="P6" i="40"/>
  <c r="E6" i="40"/>
  <c r="R5" i="40"/>
  <c r="Q5" i="40"/>
  <c r="P5" i="40"/>
  <c r="E5" i="40"/>
  <c r="R4" i="40"/>
  <c r="Q4" i="40"/>
  <c r="P4" i="40"/>
  <c r="E4" i="40"/>
  <c r="Q6" i="39"/>
  <c r="P6" i="39"/>
  <c r="O6" i="39"/>
  <c r="F6" i="39"/>
  <c r="Q5" i="39"/>
  <c r="P5" i="39"/>
  <c r="O5" i="39"/>
  <c r="F5" i="39"/>
  <c r="Q4" i="39"/>
  <c r="P4" i="39"/>
  <c r="O4" i="39"/>
  <c r="F4" i="39"/>
  <c r="W6" i="38"/>
  <c r="V6" i="38"/>
  <c r="U6" i="38"/>
  <c r="T6" i="38"/>
  <c r="S6" i="38"/>
  <c r="R6" i="38"/>
  <c r="H6" i="38"/>
  <c r="E6" i="38"/>
  <c r="AC6" i="38" s="1"/>
  <c r="W5" i="38"/>
  <c r="V5" i="38"/>
  <c r="U5" i="38"/>
  <c r="T5" i="38"/>
  <c r="S5" i="38"/>
  <c r="R5" i="38"/>
  <c r="H5" i="38"/>
  <c r="E5" i="38"/>
  <c r="AA5" i="38" s="1"/>
  <c r="W4" i="38"/>
  <c r="V4" i="38"/>
  <c r="U4" i="38"/>
  <c r="T4" i="38"/>
  <c r="S4" i="38"/>
  <c r="R4" i="38"/>
  <c r="H4" i="38"/>
  <c r="E4" i="38"/>
  <c r="AC4" i="38" s="1"/>
  <c r="S8" i="37"/>
  <c r="R8" i="37"/>
  <c r="Q8" i="37"/>
  <c r="P8" i="37"/>
  <c r="O8" i="37"/>
  <c r="E8" i="37"/>
  <c r="S7" i="37"/>
  <c r="R7" i="37"/>
  <c r="Q7" i="37"/>
  <c r="P7" i="37"/>
  <c r="O7" i="37"/>
  <c r="E7" i="37"/>
  <c r="S6" i="37"/>
  <c r="R6" i="37"/>
  <c r="Q6" i="37"/>
  <c r="P6" i="37"/>
  <c r="O6" i="37"/>
  <c r="E6" i="37"/>
  <c r="S5" i="37"/>
  <c r="R5" i="37"/>
  <c r="Q5" i="37"/>
  <c r="P5" i="37"/>
  <c r="O5" i="37"/>
  <c r="E5" i="37"/>
  <c r="S4" i="37"/>
  <c r="R4" i="37"/>
  <c r="Q4" i="37"/>
  <c r="P4" i="37"/>
  <c r="O4" i="37"/>
  <c r="E4" i="37"/>
  <c r="P6" i="36"/>
  <c r="O6" i="36"/>
  <c r="N6" i="36"/>
  <c r="E6" i="36"/>
  <c r="P5" i="36"/>
  <c r="O5" i="36"/>
  <c r="N5" i="36"/>
  <c r="E5" i="36"/>
  <c r="P4" i="36"/>
  <c r="O4" i="36"/>
  <c r="N4" i="36"/>
  <c r="E4" i="36"/>
  <c r="Y6" i="38" l="1"/>
  <c r="X5" i="38"/>
  <c r="Y5" i="38"/>
  <c r="Z5" i="38"/>
  <c r="AB5" i="38"/>
  <c r="AC5" i="38"/>
  <c r="X4" i="38"/>
  <c r="Y4" i="38"/>
  <c r="Z4" i="38"/>
  <c r="AB4" i="38"/>
  <c r="AA4" i="38"/>
  <c r="X6" i="38"/>
  <c r="Z6" i="38"/>
  <c r="AA6" i="38"/>
  <c r="AB6" i="38"/>
  <c r="B102" i="12" l="1"/>
  <c r="B99" i="12" l="1"/>
  <c r="B66" i="12" l="1"/>
  <c r="B60" i="12"/>
  <c r="B63" i="12"/>
  <c r="B45" i="12" l="1"/>
  <c r="B42" i="12"/>
</calcChain>
</file>

<file path=xl/connections.xml><?xml version="1.0" encoding="utf-8"?>
<connections xmlns="http://schemas.openxmlformats.org/spreadsheetml/2006/main">
  <connection id="1" keepAlive="1" name="Запрос — Agen_API" description="Соединение с запросом &quot;Agen_API&quot; в книге." type="5" refreshedVersion="0">
    <dbPr connection="Provider=Microsoft.Mashup.OleDb.1;Data Source=$Workbook$;Location=Agen_API;Extended Properties=&quot;&quot;" command="SELECT * FROM [Agen_API]"/>
  </connection>
  <connection id="2" keepAlive="1" name="Запрос — concatAJ" description="Соединение с запросом &quot;concatAJ&quot; в книге." type="5" refreshedVersion="0" saveData="1">
    <dbPr connection="Provider=Microsoft.Mashup.OleDb.1;Data Source=$Workbook$;Location=concatAJ;Extended Properties=&quot;&quot;" command="SELECT * FROM [concatAJ]"/>
  </connection>
  <connection id="3" keepAlive="1" name="Запрос — fAgenAPI" description="Соединение с запросом &quot;fAgenAPI&quot; в книге." type="5" refreshedVersion="0">
    <dbPr connection="Provider=Microsoft.Mashup.OleDb.1;Data Source=$Workbook$;Location=fAgenAPI;Extended Properties=&quot;&quot;" command="SELECT * FROM [fAgenAPI]"/>
  </connection>
  <connection id="4" keepAlive="1" name="Запрос — fAgenAPI (2)" description="Соединение с запросом &quot;fAgenAPI (2)&quot; в книге." type="5" refreshedVersion="0">
    <dbPr connection="Provider=Microsoft.Mashup.OleDb.1;Data Source=$Workbook$;Location=&quot;fAgenAPI (2)&quot;;Extended Properties=&quot;&quot;" command="SELECT * FROM [fAgenAPI (2)]"/>
  </connection>
  <connection id="5" keepAlive="1" name="Запрос — fCommaToList" description="Соединение с запросом &quot;fCommaToList&quot; в книге." type="5" refreshedVersion="0">
    <dbPr connection="Provider=Microsoft.Mashup.OleDb.1;Data Source=$Workbook$;Location=fCommaToList;Extended Properties=&quot;&quot;" command="SELECT * FROM [fCommaToList]"/>
  </connection>
  <connection id="6" keepAlive="1" name="Запрос — fExpand" description="Соединение с запросом &quot;fExpand&quot; в книге." type="5" refreshedVersion="0">
    <dbPr connection="Provider=Microsoft.Mashup.OleDb.1;Data Source=$Workbook$;Location=fExpand;Extended Properties=&quot;&quot;" command="SELECT * FROM [fExpand]"/>
  </connection>
  <connection id="7" keepAlive="1" name="Запрос — fGoogleTable" description="Соединение с запросом &quot;fGoogleTable&quot; в книге." type="5" refreshedVersion="0">
    <dbPr connection="Provider=Microsoft.Mashup.OleDb.1;Data Source=$Workbook$;Location=fGoogleTable;Extended Properties=&quot;&quot;" command="SELECT * FROM [fGoogleTable]"/>
  </connection>
  <connection id="8" keepAlive="1" name="Запрос — fGoogleTable (2)" description="Соединение с запросом &quot;fGoogleTable (2)&quot; в книге." type="5" refreshedVersion="0">
    <dbPr connection="Provider=Microsoft.Mashup.OleDb.1;Data Source=$Workbook$;Location=&quot;fGoogleTable (2)&quot;;Extended Properties=&quot;&quot;" command="SELECT * FROM [fGoogleTable (2)]"/>
  </connection>
  <connection id="9" keepAlive="1" name="Запрос — fSquareToList" description="Соединение с запросом &quot;fSquareToList&quot; в книге." type="5" refreshedVersion="0">
    <dbPr connection="Provider=Microsoft.Mashup.OleDb.1;Data Source=$Workbook$;Location=fSquareToList;Extended Properties=&quot;&quot;" command="SELECT * FROM [fSquareToList]"/>
  </connection>
  <connection id="10" keepAlive="1" name="Запрос — qАООК" description="Соединение с запросом &quot;qАООК&quot; в книге." type="5" refreshedVersion="6" saveData="1">
    <dbPr connection="Provider=Microsoft.Mashup.OleDb.1;Data Source=$Workbook$;Location=qАООК;Extended Properties=&quot;&quot;" command="SELECT * FROM [qАООК]"/>
  </connection>
  <connection id="11" keepAlive="1" name="Запрос — qАООК_idАОСР" description="Соединение с запросом &quot;qАООК_idАОСР&quot; в книге." type="5" refreshedVersion="8" saveData="1">
    <dbPr connection="Provider=Microsoft.Mashup.OleDb.1;Data Source=$Workbook$;Location=qАООК_idАОСР;Extended Properties=&quot;&quot;" command="SELECT * FROM [qАООК_idАОСР]"/>
  </connection>
  <connection id="12" keepAlive="1" name="Запрос — qАООК_Акты" description="Соединение с запросом &quot;qАООК_Акты&quot; в книге." type="5" refreshedVersion="0" saveData="1">
    <dbPr connection="Provider=Microsoft.Mashup.OleDb.1;Data Source=$Workbook$;Location=qАООК_Акты;Extended Properties=&quot;&quot;" command="SELECT * FROM [qАООК_Акты]"/>
  </connection>
  <connection id="13" keepAlive="1" name="Запрос — qАООК_Материалы" description="Соединение с запросом &quot;qАООК_Материалы&quot; в книге." type="5" refreshedVersion="0" saveData="1">
    <dbPr connection="Provider=Microsoft.Mashup.OleDb.1;Data Source=$Workbook$;Location=qАООК_Материалы;Extended Properties=&quot;&quot;" command="SELECT * FROM [qАООК_Материалы]"/>
  </connection>
  <connection id="14" keepAlive="1" name="Запрос — qАООК_Проект" description="Соединение с запросом &quot;qАООК_Проект&quot; в книге." type="5" refreshedVersion="0" saveData="1">
    <dbPr connection="Provider=Microsoft.Mashup.OleDb.1;Data Source=$Workbook$;Location=qАООК_Проект;Extended Properties=&quot;&quot;" command="SELECT * FROM [qАООК_Проект]"/>
  </connection>
  <connection id="15" keepAlive="1" name="Запрос — qАООК_Протоколы_АООК" description="Соединение с запросом &quot;qАООК_Протоколы_АООК&quot; в книге." type="5" refreshedVersion="0" saveData="1">
    <dbPr connection="Provider=Microsoft.Mashup.OleDb.1;Data Source=$Workbook$;Location=qАООК_Протоколы_АООК;Extended Properties=&quot;&quot;" command="SELECT * FROM [qАООК_Протоколы_АООК]"/>
  </connection>
  <connection id="16" keepAlive="1" name="Запрос — qАООК_Протоколы_АОСР" description="Соединение с запросом &quot;qАООК_Протоколы_АОСР&quot; в книге." type="5" refreshedVersion="0" saveData="1">
    <dbPr connection="Provider=Microsoft.Mashup.OleDb.1;Data Source=$Workbook$;Location=qАООК_Протоколы_АОСР;Extended Properties=&quot;&quot;" command="SELECT * FROM [qАООК_Протоколы_АОСР]"/>
  </connection>
  <connection id="17" keepAlive="1" name="Запрос — qАООК_СНИП" description="Соединение с запросом &quot;qАООК_СНИП&quot; в книге." type="5" refreshedVersion="0" saveData="1">
    <dbPr connection="Provider=Microsoft.Mashup.OleDb.1;Data Source=$Workbook$;Location=qАООК_СНИП;Extended Properties=&quot;&quot;" command="SELECT * FROM [qАООК_СНИП]"/>
  </connection>
  <connection id="18" keepAlive="1" name="Запрос — qАООК_Схемы" description="Соединение с запросом &quot;qАООК_Схемы&quot; в книге." type="5" refreshedVersion="0" saveData="1">
    <dbPr connection="Provider=Microsoft.Mashup.OleDb.1;Data Source=$Workbook$;Location=qАООК_Схемы;Extended Properties=&quot;&quot;" command="SELECT * FROM [qАООК_Схемы]"/>
  </connection>
  <connection id="19" keepAlive="1" name="Запрос — qБазаСертификатов" description="Соединение с запросом &quot;qБазаСертификатов&quot; в книге." type="5" refreshedVersion="0" saveData="1">
    <dbPr connection="Provider=Microsoft.Mashup.OleDb.1;Data Source=$Workbook$;Location=qБазаСертификатов;Extended Properties=&quot;&quot;" command="SELECT * FROM [qБазаСертификатов]"/>
  </connection>
  <connection id="20" keepAlive="1" name="Запрос — qВсеДанныеВАкт" description="Соединение с запросом &quot;qВсеДанныеВАкт&quot; в книге." type="5" refreshedVersion="6" saveData="1">
    <dbPr connection="Provider=Microsoft.Mashup.OleDb.1;Data Source=$Workbook$;Location=qВсеДанныеВАкт;Extended Properties=&quot;&quot;" command="SELECT * FROM [qВсеДанныеВАкт]"/>
  </connection>
  <connection id="21" keepAlive="1" name="Запрос — qДопакты" description="Соединение с запросом &quot;qДопакты&quot; в книге." type="5" refreshedVersion="0">
    <dbPr connection="Provider=Microsoft.Mashup.OleDb.1;Data Source=$Workbook$;Location=qДопакты;Extended Properties=&quot;&quot;" command="SELECT * FROM [qДопакты]"/>
  </connection>
  <connection id="22" keepAlive="1" name="Запрос — qМаска" description="Соединение с запросом &quot;qМаска&quot; в книге." type="5" refreshedVersion="0" saveData="1">
    <dbPr connection="Provider=Microsoft.Mashup.OleDb.1;Data Source=$Workbook$;Location=qМаска;Extended Properties=&quot;&quot;" command="SELECT * FROM [qМаска]"/>
  </connection>
  <connection id="23" keepAlive="1" name="Запрос — qМатериалыВАкте" description="Соединение с запросом &quot;qМатериалыВАкте&quot; в книге." type="5" refreshedVersion="8" saveData="1">
    <dbPr connection="Provider=Microsoft.Mashup.OleDb.1;Data Source=$Workbook$;Location=qМатериалыВАкте;Extended Properties=&quot;&quot;" command="SELECT * FROM [qМатериалыВАкте]"/>
  </connection>
  <connection id="24" keepAlive="1" name="Запрос — qПриложенияМатериалы" description="Соединение с запросом &quot;qПриложенияМатериалы&quot; в книге." type="5" refreshedVersion="6" saveData="1">
    <dbPr connection="Provider=Microsoft.Mashup.OleDb.1;Data Source=$Workbook$;Location=qПриложенияМатериалы;Extended Properties=&quot;&quot;" command="SELECT * FROM [qПриложенияМатериалы]"/>
  </connection>
  <connection id="25" keepAlive="1" name="Запрос — qПриложенияПротоколы" description="Соединение с запросом &quot;qПриложенияПротоколы&quot; в книге." type="5" refreshedVersion="0" saveData="1">
    <dbPr connection="Provider=Microsoft.Mashup.OleDb.1;Data Source=$Workbook$;Location=qПриложенияПротоколы;Extended Properties=&quot;&quot;" command="SELECT * FROM [qПриложенияПротоколы]"/>
  </connection>
  <connection id="26" keepAlive="1" name="Запрос — qПриложенияСхемы" description="Соединение с запросом &quot;qПриложенияСхемы&quot; в книге." type="5" refreshedVersion="0" saveData="1">
    <dbPr connection="Provider=Microsoft.Mashup.OleDb.1;Data Source=$Workbook$;Location=qПриложенияСхемы;Extended Properties=&quot;&quot;" command="SELECT * FROM [qПриложенияСхемы]"/>
  </connection>
  <connection id="27" keepAlive="1" name="Запрос — qПриложенияСхемыПротоколы" description="Соединение с запросом &quot;qПриложенияСхемыПротоколы&quot; в книге." type="5" refreshedVersion="6" saveData="1">
    <dbPr connection="Provider=Microsoft.Mashup.OleDb.1;Data Source=$Workbook$;Location=qПриложенияСхемыПротоколы;Extended Properties=&quot;&quot;" command="SELECT * FROM [qПриложенияСхемыПротоколы]"/>
  </connection>
  <connection id="28" keepAlive="1" name="Запрос — qПротоколыВАкте" description="Соединение с запросом &quot;qПротоколыВАкте&quot; в книге." type="5" refreshedVersion="8" saveData="1">
    <dbPr connection="Provider=Microsoft.Mashup.OleDb.1;Data Source=$Workbook$;Location=qПротоколыВАкте;Extended Properties=&quot;&quot;" command="SELECT * FROM [qПротоколыВАкте]"/>
  </connection>
  <connection id="29" keepAlive="1" name="Запрос — qРДвАкте" description="Соединение с запросом &quot;qРДвАкте&quot; в книге." type="5" refreshedVersion="0">
    <dbPr connection="Provider=Microsoft.Mashup.OleDb.1;Data Source=$Workbook$;Location=qРДвАкте;Extended Properties=&quot;&quot;" command="SELECT * FROM [qРДвАкте]"/>
  </connection>
  <connection id="30" keepAlive="1" name="Запрос — qРеестр" description="Соединение с запросом &quot;qРеестр&quot; в книге." type="5" refreshedVersion="0">
    <dbPr connection="Provider=Microsoft.Mashup.OleDb.1;Data Source=$Workbook$;Location=qРеестр;Extended Properties=&quot;&quot;" command="SELECT * FROM [qРеестр]"/>
  </connection>
  <connection id="31" keepAlive="1" name="Запрос — qРеестр_допакты" description="Соединение с запросом &quot;qРеестр_допакты&quot; в книге." type="5" refreshedVersion="0">
    <dbPr connection="Provider=Microsoft.Mashup.OleDb.1;Data Source=$Workbook$;Location=qРеестр_допакты;Extended Properties=&quot;&quot;" command="SELECT * FROM [qРеестр_допакты]"/>
  </connection>
  <connection id="32" keepAlive="1" name="Запрос — qРеестрМатериалы" description="Соединение с запросом &quot;qРеестрМатериалы&quot; в книге." type="5" refreshedVersion="0" saveData="1">
    <dbPr connection="Provider=Microsoft.Mashup.OleDb.1;Data Source=$Workbook$;Location=qРеестрМатериалы;Extended Properties=&quot;&quot;" command="SELECT * FROM [qРеестрМатериалы]"/>
  </connection>
  <connection id="33" keepAlive="1" name="Запрос — qРеестрМатериалыПрил" description="Соединение с запросом &quot;qРеестрМатериалыПрил&quot; в книге." type="5" refreshedVersion="0">
    <dbPr connection="Provider=Microsoft.Mashup.OleDb.1;Data Source=$Workbook$;Location=qРеестрМатериалыПрил;Extended Properties=&quot;&quot;" command="SELECT * FROM [qРеестрМатериалыПрил]"/>
  </connection>
  <connection id="34" keepAlive="1" name="Запрос — qРеестрПоАктам" description="Соединение с запросом &quot;qРеестрПоАктам&quot; в книге." type="5" refreshedVersion="8" saveData="1">
    <dbPr connection="Provider=Microsoft.Mashup.OleDb.1;Data Source=$Workbook$;Location=qРеестрПоАктам;Extended Properties=&quot;&quot;" command="SELECT * FROM [qРеестрПоАктам]"/>
  </connection>
  <connection id="35" keepAlive="1" name="Запрос — qРеестрПоТипам" description="Соединение с запросом &quot;qРеестрПоТипам&quot; в книге." type="5" refreshedVersion="8" saveData="1">
    <dbPr connection="Provider=Microsoft.Mashup.OleDb.1;Data Source=$Workbook$;Location=qРеестрПоТипам;Extended Properties=&quot;&quot;" command="SELECT * FROM [qРеестрПоТипам]"/>
  </connection>
  <connection id="36" keepAlive="1" name="Запрос — qРеестрПротокол" description="Соединение с запросом &quot;qРеестрПротокол&quot; в книге." type="5" refreshedVersion="0" saveData="1">
    <dbPr connection="Provider=Microsoft.Mashup.OleDb.1;Data Source=$Workbook$;Location=qРеестрПротокол;Extended Properties=&quot;&quot;" command="SELECT * FROM [qРеестрПротокол]"/>
  </connection>
  <connection id="37" keepAlive="1" name="Запрос — qРеестрПротоколПрил" description="Соединение с запросом &quot;qРеестрПротоколПрил&quot; в книге." type="5" refreshedVersion="0">
    <dbPr connection="Provider=Microsoft.Mashup.OleDb.1;Data Source=$Workbook$;Location=qРеестрПротоколПрил;Extended Properties=&quot;&quot;" command="SELECT * FROM [qРеестрПротоколПрил]"/>
  </connection>
  <connection id="38" keepAlive="1" name="Запрос — qРеестрСхемы" description="Соединение с запросом &quot;qРеестрСхемы&quot; в книге." type="5" refreshedVersion="0" saveData="1">
    <dbPr connection="Provider=Microsoft.Mashup.OleDb.1;Data Source=$Workbook$;Location=qРеестрСхемы;Extended Properties=&quot;&quot;" command="SELECT * FROM [qРеестрСхемы]"/>
  </connection>
  <connection id="39" keepAlive="1" name="Запрос — qСхемыВАкте" description="Соединение с запросом &quot;qСхемыВАкте&quot; в книге." type="5" refreshedVersion="0">
    <dbPr connection="Provider=Microsoft.Mashup.OleDb.1;Data Source=$Workbook$;Location=qСхемыВАкте;Extended Properties=&quot;&quot;" command="SELECT * FROM [qСхемыВАкте]"/>
  </connection>
  <connection id="40" keepAlive="1" name="Запрос — Source" description="Соединение с запросом &quot;Source&quot; в книге." type="5" refreshedVersion="0">
    <dbPr connection="Provider=Microsoft.Mashup.OleDb.1;Data Source=$Workbook$;Location=Source;Extended Properties=&quot;&quot;" command="SELECT * FROM [Source]"/>
  </connection>
  <connection id="41" keepAlive="1" name="Запрос — Source (2)" description="Соединение с запросом &quot;Source (2)&quot; в книге." type="5" refreshedVersion="0">
    <dbPr connection="Provider=Microsoft.Mashup.OleDb.1;Data Source=$Workbook$;Location=&quot;Source (2)&quot;;Extended Properties=&quot;&quot;" command="SELECT * FROM [Source (2)]"/>
  </connection>
  <connection id="42" keepAlive="1" name="Запрос — token" description="Соединение с запросом &quot;token&quot; в книге." type="5" refreshedVersion="0">
    <dbPr connection="Provider=Microsoft.Mashup.OleDb.1;Data Source=$Workbook$;Location=token;Extended Properties=&quot;&quot;" command="SELECT * FROM [token]"/>
  </connection>
  <connection id="43" keepAlive="1" name="Запрос — АООК_АОСР" description="Соединение с запросом &quot;АООК_АОСР&quot; в книге." type="5" refreshedVersion="0">
    <dbPr connection="Provider=Microsoft.Mashup.OleDb.1;Data Source=$Workbook$;Location=АООК_АОСР;Extended Properties=&quot;&quot;" command="SELECT * FROM [АООК_АОСР]"/>
  </connection>
  <connection id="44" keepAlive="1" name="Запрос — выбор_т_Материалы" description="Соединение с запросом &quot;выбор_т_Материалы&quot; в книге." type="5" refreshedVersion="8" saveData="1">
    <dbPr connection="Provider=Microsoft.Mashup.OleDb.1;Data Source=$Workbook$;Location=выбор_т_Материалы;Extended Properties=&quot;&quot;" command="SELECT * FROM [выбор_т_Материалы]"/>
  </connection>
  <connection id="45" keepAlive="1" name="Запрос — выбор_т_Материалы_Категория" description="Соединение с запросом &quot;выбор_т_Материалы_Категория&quot; в книге." type="5" refreshedVersion="8" saveData="1">
    <dbPr connection="Provider=Microsoft.Mashup.OleDb.1;Data Source=$Workbook$;Location=выбор_т_Материалы_Категория;Extended Properties=&quot;&quot;" command="SELECT * FROM [выбор_т_Материалы_Категория]"/>
  </connection>
  <connection id="46" keepAlive="1" name="Запрос — выбор_т_Материалы_Подкатегория" description="Соединение с запросом &quot;выбор_т_Материалы_Подкатегория&quot; в книге." type="5" refreshedVersion="8" saveData="1">
    <dbPr connection="Provider=Microsoft.Mashup.OleDb.1;Data Source=$Workbook$;Location=выбор_т_Материалы_Подкатегория;Extended Properties=&quot;&quot;" command="SELECT * FROM [выбор_т_Материалы_Подкатегория]"/>
  </connection>
  <connection id="47" keepAlive="1" name="Запрос — ГрафикИтог" description="Соединение с запросом &quot;ГрафикИтог&quot; в книге." type="5" refreshedVersion="8" saveData="1">
    <dbPr connection="Provider=Microsoft.Mashup.OleDb.1;Data Source=$Workbook$;Location=ГрафикИтог;Extended Properties=&quot;&quot;" command="SELECT * FROM [ГрафикИтог]"/>
  </connection>
  <connection id="48" keepAlive="1" name="Запрос — ГрафикИтог (2)" description="Соединение с запросом &quot;ГрафикИтог (2)&quot; в книге." type="5" refreshedVersion="8" saveData="1">
    <dbPr connection="Provider=Microsoft.Mashup.OleDb.1;Data Source=$Workbook$;Location=&quot;ГрафикИтог (2)&quot;;Extended Properties=&quot;&quot;" command="SELECT * FROM [ГрафикИтог (2)]"/>
  </connection>
  <connection id="49" keepAlive="1" name="Запрос — НАСТР" description="Соединение с запросом &quot;НАСТР&quot; в книге." type="5" refreshedVersion="0">
    <dbPr connection="Provider=Microsoft.Mashup.OleDb.1;Data Source=$Workbook$;Location=НАСТР;Extended Properties=&quot;&quot;" command="SELECT * FROM [НАСТР]"/>
  </connection>
  <connection id="50" keepAlive="1" name="Запрос — пример" description="Соединение с запросом &quot;пример&quot; в книге." type="5" refreshedVersion="0">
    <dbPr connection="Provider=Microsoft.Mashup.OleDb.1;Data Source=$Workbook$;Location=пример;Extended Properties=&quot;&quot;" command="SELECT * FROM [пример]"/>
  </connection>
  <connection id="51" keepAlive="1" name="Запрос — пТаблицаГрафика" description="Соединение с запросом &quot;пТаблицаГрафика&quot; в книге." type="5" refreshedVersion="0">
    <dbPr connection="Provider=Microsoft.Mashup.OleDb.1;Data Source=$Workbook$;Location=пТаблицаГрафика;Extended Properties=&quot;&quot;" command="SELECT * FROM [пТаблицаГрафика]"/>
  </connection>
  <connection id="52" keepAlive="1" name="Запрос — т_id" description="Соединение с запросом &quot;т_id&quot; в книге." type="5" refreshedVersion="0">
    <dbPr connection="Provider=Microsoft.Mashup.OleDb.1;Data Source=$Workbook$;Location=т_id;Extended Properties=&quot;&quot;" command="SELECT * FROM [т_id]"/>
  </connection>
  <connection id="53" keepAlive="1" name="Запрос — т_АВК" description="Соединение с запросом &quot;т_АВК&quot; в книге." type="5" refreshedVersion="8" saveData="1">
    <dbPr connection="Provider=Microsoft.Mashup.OleDb.1;Data Source=$Workbook$;Location=т_АВК;Extended Properties=&quot;&quot;" command="SELECT * FROM [т_АВК]"/>
  </connection>
  <connection id="54" keepAlive="1" name="Запрос — т_База_актов" description="Соединение с запросом &quot;т_База_актов&quot; в книге." type="5" refreshedVersion="0" saveData="1">
    <dbPr connection="Provider=Microsoft.Mashup.OleDb.1;Data Source=$Workbook$;Location=т_База_актов;Extended Properties=&quot;&quot;" command="SELECT * FROM [т_База_актов]"/>
  </connection>
  <connection id="55" keepAlive="1" name="Запрос — т_База_актов (2)" description="Соединение с запросом &quot;т_База_актов (2)&quot; в книге." type="5" refreshedVersion="0">
    <dbPr connection="Provider=Microsoft.Mashup.OleDb.1;Data Source=$Workbook$;Location=&quot;т_База_актов (2)&quot;;Extended Properties=&quot;&quot;" command="SELECT * FROM [т_База_актов (2)]"/>
  </connection>
  <connection id="56" keepAlive="1" name="Запрос — т_ЖВЗП" description="Соединение с запросом &quot;т_ЖВЗП&quot; в книге." type="5" refreshedVersion="8" saveData="1">
    <dbPr connection="Provider=Microsoft.Mashup.OleDb.1;Data Source=$Workbook$;Location=т_ЖВЗП;Extended Properties=&quot;&quot;" command="SELECT * FROM [т_ЖВЗП]"/>
  </connection>
  <connection id="57" keepAlive="1" name="Запрос — т_ЖВК" description="Соединение с запросом &quot;т_ЖВК&quot; в книге." type="5" refreshedVersion="8" saveData="1">
    <dbPr connection="Provider=Microsoft.Mashup.OleDb.1;Data Source=$Workbook$;Location=т_ЖВК;Extended Properties=&quot;&quot;" command="SELECT * FROM [т_ЖВК]"/>
  </connection>
  <connection id="58" keepAlive="1" name="Запрос — т_Лаборатория" description="Соединение с запросом &quot;т_Лаборатория&quot; в книге." type="5" refreshedVersion="0" saveData="1">
    <dbPr connection="Provider=Microsoft.Mashup.OleDb.1;Data Source=$Workbook$;Location=т_Лаборатория;Extended Properties=&quot;&quot;" command="SELECT * FROM [т_Лаборатория]"/>
  </connection>
  <connection id="59" keepAlive="1" name="Запрос — т_Люди" description="Соединение с запросом &quot;т_Люди&quot; в книге." type="5" refreshedVersion="0" saveData="1">
    <dbPr connection="Provider=Microsoft.Mashup.OleDb.1;Data Source=$Workbook$;Location=т_Люди;Extended Properties=&quot;&quot;" command="SELECT * FROM [т_Люди]"/>
  </connection>
  <connection id="60" keepAlive="1" name="Запрос — т_Материалы" description="Соединение с запросом &quot;т_Материалы&quot; в книге." type="5" refreshedVersion="0" saveData="1">
    <dbPr connection="Provider=Microsoft.Mashup.OleDb.1;Data Source=$Workbook$;Location=т_Материалы;Extended Properties=&quot;&quot;" command="SELECT * FROM [т_Материалы]"/>
  </connection>
  <connection id="61" keepAlive="1" name="Запрос — т_МатериалыАВК" description="Соединение с запросом &quot;т_МатериалыАВК&quot; в книге." type="5" refreshedVersion="0">
    <dbPr connection="Provider=Microsoft.Mashup.OleDb.1;Data Source=$Workbook$;Location=т_МатериалыАВК;Extended Properties=&quot;&quot;" command="SELECT * FROM [т_МатериалыАВК]"/>
  </connection>
  <connection id="62" keepAlive="1" name="Запрос — т_номера_АВК" description="Соединение с запросом &quot;т_номера_АВК&quot; в книге." type="5" refreshedVersion="8" saveData="1">
    <dbPr connection="Provider=Microsoft.Mashup.OleDb.1;Data Source=$Workbook$;Location=т_номера_АВК;Extended Properties=&quot;&quot;" command="SELECT * FROM [т_номера_АВК]"/>
  </connection>
  <connection id="63" keepAlive="1" name="Запрос — т_Номера_актов" description="Соединение с запросом &quot;т_Номера_актов&quot; в книге." type="5" refreshedVersion="0" saveData="1">
    <dbPr connection="Provider=Microsoft.Mashup.OleDb.1;Data Source=$Workbook$;Location=т_Номера_актов;Extended Properties=&quot;&quot;" command="SELECT * FROM [т_Номера_актов]"/>
  </connection>
  <connection id="64" keepAlive="1" name="Запрос — т_общие_данные_АВК" description="Соединение с запросом &quot;т_общие_данные_АВК&quot; в книге." type="5" refreshedVersion="8" saveData="1">
    <dbPr connection="Provider=Microsoft.Mashup.OleDb.1;Data Source=$Workbook$;Location=т_общие_данные_АВК;Extended Properties=&quot;&quot;" command="SELECT * FROM [т_общие_данные_АВК]"/>
  </connection>
  <connection id="65" keepAlive="1" name="Запрос — т_ПорядокВРеестре" description="Соединение с запросом &quot;т_ПорядокВРеестре&quot; в книге." type="5" refreshedVersion="0">
    <dbPr connection="Provider=Microsoft.Mashup.OleDb.1;Data Source=$Workbook$;Location=т_ПорядокВРеестре;Extended Properties=&quot;&quot;" command="SELECT * FROM [т_ПорядокВРеестре]"/>
  </connection>
  <connection id="66" keepAlive="1" name="Запрос — т_ПорядокПоАктам" description="Соединение с запросом &quot;т_ПорядокПоАктам&quot; в книге." type="5" refreshedVersion="0" saveData="1">
    <dbPr connection="Provider=Microsoft.Mashup.OleDb.1;Data Source=$Workbook$;Location=т_ПорядокПоАктам;Extended Properties=&quot;&quot;" command="SELECT * FROM [т_ПорядокПоАктам]"/>
  </connection>
  <connection id="67" keepAlive="1" name="Запрос — т_РД" description="Соединение с запросом &quot;т_РД&quot; в книге." type="5" refreshedVersion="0">
    <dbPr connection="Provider=Microsoft.Mashup.OleDb.1;Data Source=$Workbook$;Location=т_РД;Extended Properties=&quot;&quot;" command="SELECT * FROM [т_РД]"/>
  </connection>
  <connection id="68" keepAlive="1" name="Запрос — т_Схемы" description="Соединение с запросом &quot;т_Схемы&quot; в книге." type="5" refreshedVersion="0" saveData="1">
    <dbPr connection="Provider=Microsoft.Mashup.OleDb.1;Data Source=$Workbook$;Location=т_Схемы;Extended Properties=&quot;&quot;" command="SELECT * FROM [т_Схемы]"/>
  </connection>
  <connection id="69" keepAlive="1" name="Запрос — т_ШаблоныАктов" description="Соединение с запросом &quot;т_ШаблоныАктов&quot; в книге." type="5" refreshedVersion="0" saveData="1">
    <dbPr connection="Provider=Microsoft.Mashup.OleDb.1;Data Source=$Workbook$;Location=т_ШаблоныАктов;Extended Properties=&quot;&quot;" command="SELECT * FROM [т_ШаблоныАктов]"/>
  </connection>
  <connection id="70" keepAlive="1" name="Запрос — тГрафик" description="Соединение с запросом &quot;тГрафик&quot; в книге." type="5" refreshedVersion="0">
    <dbPr connection="Provider=Microsoft.Mashup.OleDb.1;Data Source=$Workbook$;Location=тГрафик;Extended Properties=&quot;&quot;" command="SELECT * FROM [тГрафик]"/>
  </connection>
  <connection id="71" keepAlive="1" name="Запрос — тИД" description="Соединение с запросом &quot;тИД&quot; в книге." type="5" refreshedVersion="0" saveData="1">
    <dbPr connection="Provider=Microsoft.Mashup.OleDb.1;Data Source=$Workbook$;Location=тИД;Extended Properties=&quot;&quot;" command="SELECT * FROM [тИД]"/>
  </connection>
  <connection id="72" keepAlive="1" name="Запрос — тНомерИД" description="Соединение с запросом &quot;тНомерИД&quot; в книге." type="5" refreshedVersion="0" saveData="1">
    <dbPr connection="Provider=Microsoft.Mashup.OleDb.1;Data Source=$Workbook$;Location=тНомерИД;Extended Properties=&quot;&quot;" command="SELECT * FROM [тНомерИД]"/>
  </connection>
  <connection id="73" keepAlive="1" name="Запрос — фГрафик (2)" description="Соединение с запросом &quot;фГрафик (2)&quot; в книге." type="5" refreshedVersion="0">
    <dbPr connection="Provider=Microsoft.Mashup.OleDb.1;Data Source=$Workbook$;Location=&quot;фГрафик (2)&quot;;Extended Properties=&quot;&quot;" command="SELECT * FROM [фГрафик (2)]"/>
  </connection>
  <connection id="74" keepAlive="1" name="Запрос — фГрафик(1)" description="Соединение с запросом &quot;фГрафик&quot; в книге." type="5" refreshedVersion="0">
    <dbPr connection="Provider=Microsoft.Mashup.OleDb.1;Data Source=$Workbook$;Location=фГрафик;Extended Properties=&quot;&quot;" command="SELECT * FROM [фГрафик]"/>
  </connection>
</connections>
</file>

<file path=xl/sharedStrings.xml><?xml version="1.0" encoding="utf-8"?>
<sst xmlns="http://schemas.openxmlformats.org/spreadsheetml/2006/main" count="2336" uniqueCount="1300">
  <si>
    <t>id</t>
  </si>
  <si>
    <t>Номер акта</t>
  </si>
  <si>
    <t>Тип</t>
  </si>
  <si>
    <t>Суффикс акта</t>
  </si>
  <si>
    <t>Наименование работ</t>
  </si>
  <si>
    <t>Объём</t>
  </si>
  <si>
    <t>Ед.изм.</t>
  </si>
  <si>
    <t>Уровень1</t>
  </si>
  <si>
    <t>Уровень2</t>
  </si>
  <si>
    <t>Уровень3</t>
  </si>
  <si>
    <t>Отм.</t>
  </si>
  <si>
    <t>В осях</t>
  </si>
  <si>
    <t>Дата начала</t>
  </si>
  <si>
    <t>Дата окончания</t>
  </si>
  <si>
    <t>Дата акта</t>
  </si>
  <si>
    <t>ИД</t>
  </si>
  <si>
    <t>Создать акт</t>
  </si>
  <si>
    <t>Автоназвание работ</t>
  </si>
  <si>
    <t>Последующие работы</t>
  </si>
  <si>
    <t>Люди</t>
  </si>
  <si>
    <t>СК Заказчика</t>
  </si>
  <si>
    <t>Генподрядчик</t>
  </si>
  <si>
    <t>СК Генподрядчика</t>
  </si>
  <si>
    <t>Подрядчик</t>
  </si>
  <si>
    <t>Авторский надзор</t>
  </si>
  <si>
    <t>Иное лицо 1</t>
  </si>
  <si>
    <t>Иное лицо 2</t>
  </si>
  <si>
    <t>Иное лицо 3</t>
  </si>
  <si>
    <t>Исполнительные схемы</t>
  </si>
  <si>
    <t>Проектная / рабочая документация</t>
  </si>
  <si>
    <t>Даты</t>
  </si>
  <si>
    <t>Представитель</t>
  </si>
  <si>
    <t>ФИО</t>
  </si>
  <si>
    <t>Должность</t>
  </si>
  <si>
    <t>Организация</t>
  </si>
  <si>
    <t>Реквизиты распорядительного документа</t>
  </si>
  <si>
    <t>Идентификационный номер специалиста в НРС и дата</t>
  </si>
  <si>
    <t>Дата начала работы</t>
  </si>
  <si>
    <t>Дата окончания работы</t>
  </si>
  <si>
    <t>да</t>
  </si>
  <si>
    <t>Реквизиты организации</t>
  </si>
  <si>
    <t>id материала</t>
  </si>
  <si>
    <t>Название материала</t>
  </si>
  <si>
    <t>Категория</t>
  </si>
  <si>
    <t>Тип документа</t>
  </si>
  <si>
    <t>Номер документа</t>
  </si>
  <si>
    <t>Дата документа</t>
  </si>
  <si>
    <t>Материалы</t>
  </si>
  <si>
    <t>Выполнено в соответствии с</t>
  </si>
  <si>
    <t>Результаты экспертиз, обследований, лабораторных и иных испытаний</t>
  </si>
  <si>
    <t>Материалы и приложения</t>
  </si>
  <si>
    <t>АОСР</t>
  </si>
  <si>
    <t>Общая информация</t>
  </si>
  <si>
    <t>Объект капитального строительства</t>
  </si>
  <si>
    <t>Название объекта</t>
  </si>
  <si>
    <t>Адрес объекта</t>
  </si>
  <si>
    <t>Застройщик (технический заказчик, эксплуатирующая организация или региональный оператор)</t>
  </si>
  <si>
    <t>Лицо, осуществляющее строительство</t>
  </si>
  <si>
    <t>Лицо, осуществляющее подготовку проектной документации</t>
  </si>
  <si>
    <t>Лицо, выполнившее работы, подлежащие освидетельствованию</t>
  </si>
  <si>
    <t>Фамилия, имя, отчество, адрес места жительства, ОРГНИП, ИНН индивидуального предпринимателя, наименование, ОГРН, ИНН, место нахождения, юридического лица, телефон/факс, наименование, ОГРН, ИНН саморегулируемой организации, членом которой является – для индивидуальных предпринимателей и юридических лиц; фамилия, имя, отчество, паспортные данные, адрес места жительства, телефон/факс - для физических лиц, не являющихся индивидуальными предпринимателями</t>
  </si>
  <si>
    <t xml:space="preserve">Фамилия, имя, отчество, адрес места жительства, ОРГНИП, ИНН индивидуального предпринимателя, наименование, ОГРН, ИНН, место нахождения, юридического лица, телефон/факс, наименование, ОГРН, ИНН саморегулируемой организации, членом которой является
</t>
  </si>
  <si>
    <t>Наименование, ОГРН, ИНН, номер и дата выдачи свидетельства о допуске к видам работ по строительству, реконструкции, капитальному ремонту объектов капитального строительства, которые оказывают влияние на безопасность объектов капитального строительства, с указанием саморегулируемой организации, его выдавшей, почтовые реквизиты, телефон/факс - для юридических лиц и индивидуальных предпринимателей; фамилия, имя, отчество, паспортные данные, место проживания, телефон/факс - для физических лиц</t>
  </si>
  <si>
    <t>Фамилия, имя, отчество, адрес места жительства, ОГРНИП, ИНН индивидуального предпринимателя, наименование, ОГРН, ИНН, место нахождения, юридического лица, телефон/факс, наименование, ОГРН, ИНН саморегулируемой организации, членом которой является</t>
  </si>
  <si>
    <t>Дата поступления</t>
  </si>
  <si>
    <t>Ед. изм.</t>
  </si>
  <si>
    <t>Мат_серт</t>
  </si>
  <si>
    <t>Сертификаты</t>
  </si>
  <si>
    <t>№ документа</t>
  </si>
  <si>
    <t>Название документа</t>
  </si>
  <si>
    <t>Дата</t>
  </si>
  <si>
    <t>Дополнительные сведения</t>
  </si>
  <si>
    <t>Число листов</t>
  </si>
  <si>
    <t>Название документа (локация)</t>
  </si>
  <si>
    <t>Кол-во экз.</t>
  </si>
  <si>
    <t>Номера актов</t>
  </si>
  <si>
    <t>Маска номера акта</t>
  </si>
  <si>
    <t>В серых блоках выберите элемент из списка. Белые блоки заполните любыми символами.</t>
  </si>
  <si>
    <t>Придумайте собственное правило, по которому будет составляться номер акта.</t>
  </si>
  <si>
    <t>Протоколы испытаний</t>
  </si>
  <si>
    <t>Индекс</t>
  </si>
  <si>
    <t>Документ</t>
  </si>
  <si>
    <t>№ п/п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</si>
  <si>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</si>
  <si>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</si>
  <si>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</si>
  <si>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</si>
  <si>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</si>
  <si>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</si>
  <si>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</si>
  <si>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</si>
  <si>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</si>
  <si>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</si>
  <si>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</si>
  <si>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</si>
  <si>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</si>
  <si>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Название</t>
  </si>
  <si>
    <t>Номер</t>
  </si>
  <si>
    <t>Название комплекта ИД</t>
  </si>
  <si>
    <t>Номер комплекта</t>
  </si>
  <si>
    <t>Сертификаты на материалы</t>
  </si>
  <si>
    <t>Шифр</t>
  </si>
  <si>
    <t>Акт освидетельствования скрытых работ</t>
  </si>
  <si>
    <t>АООК</t>
  </si>
  <si>
    <t>Акт освидетельствования ответственных конструкций</t>
  </si>
  <si>
    <t>Шаблоны актов</t>
  </si>
  <si>
    <t>Название акта</t>
  </si>
  <si>
    <t>Связи</t>
  </si>
  <si>
    <t>Материалы АОСР</t>
  </si>
  <si>
    <t>Протоколы</t>
  </si>
  <si>
    <t>Схемы</t>
  </si>
  <si>
    <t>Проект</t>
  </si>
  <si>
    <t>Акты</t>
  </si>
  <si>
    <t>Протоколы_АОСР</t>
  </si>
  <si>
    <t>Протоколы_АООК</t>
  </si>
  <si>
    <t>СНИП</t>
  </si>
  <si>
    <t>Начало</t>
  </si>
  <si>
    <t>Окончание</t>
  </si>
  <si>
    <t>условия полного нагружения</t>
  </si>
  <si>
    <t>использование по назначению</t>
  </si>
  <si>
    <t>% нагрузки от проектной</t>
  </si>
  <si>
    <t>для документов о качестве</t>
  </si>
  <si>
    <t>для схем и протоколов</t>
  </si>
  <si>
    <t>Создавать приложения к АОСР, если документов больше 5</t>
  </si>
  <si>
    <t>Число протоколов АОСР</t>
  </si>
  <si>
    <t>Число схем</t>
  </si>
  <si>
    <t>Число протоколов АООК</t>
  </si>
  <si>
    <t>Приложения (вручную)</t>
  </si>
  <si>
    <t xml:space="preserve">Обозначение </t>
  </si>
  <si>
    <t xml:space="preserve">Наименование </t>
  </si>
  <si>
    <t xml:space="preserve">Перечень Сводов правил, зарегистрированных в Федеральном информационном фонде стандартов  </t>
  </si>
  <si>
    <t/>
  </si>
  <si>
    <t>Краткое ФИО у подписантов</t>
  </si>
  <si>
    <t>Добавьте в эту таблицу свои нормативные документы, или удалите лишние.</t>
  </si>
  <si>
    <t>Количество</t>
  </si>
  <si>
    <t>Шифр РД</t>
  </si>
  <si>
    <t>Дата изготовления</t>
  </si>
  <si>
    <t>Вид упаковки</t>
  </si>
  <si>
    <t>Номер вагона (автомашины)</t>
  </si>
  <si>
    <t>Дата
поступления</t>
  </si>
  <si>
    <t>Поставщик</t>
  </si>
  <si>
    <t>Наименование продукции</t>
  </si>
  <si>
    <t>Сертификат качества (паспорт, сертификат и т. д.)</t>
  </si>
  <si>
    <t>Масса, партия, номер</t>
  </si>
  <si>
    <t>Место отбора образца (выборки или пробы)</t>
  </si>
  <si>
    <t>Дата отбора образца (выборки или пробы)</t>
  </si>
  <si>
    <t>Заключение о качестве, подпись лица, ответственного за верификацию</t>
  </si>
  <si>
    <t>Место отбора образца</t>
  </si>
  <si>
    <t>Дата отбора образца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</si>
  <si>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</si>
  <si>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</si>
  <si>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</si>
  <si>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</si>
  <si>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</si>
  <si>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</si>
  <si>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</si>
  <si>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</si>
  <si>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</si>
  <si>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</si>
  <si>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</si>
  <si>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Удовл.</t>
  </si>
  <si>
    <t>Журнал верификации закупленной продукции</t>
  </si>
  <si>
    <t>Сертификат</t>
  </si>
  <si>
    <t>Номер АВК</t>
  </si>
  <si>
    <t>Дата АВК</t>
  </si>
  <si>
    <t>РД</t>
  </si>
  <si>
    <t>Да_нет</t>
  </si>
  <si>
    <t>Сертификаты перенос</t>
  </si>
  <si>
    <t>Протоколы перенос</t>
  </si>
  <si>
    <t>Реквизиты</t>
  </si>
  <si>
    <t>Наименование</t>
  </si>
  <si>
    <t>Иное лицо</t>
  </si>
  <si>
    <t>исполнительной документации</t>
  </si>
  <si>
    <t>Сайт</t>
  </si>
  <si>
    <t>agenerator.ru</t>
  </si>
  <si>
    <t>Почта</t>
  </si>
  <si>
    <t>ag-id@yandex.ru</t>
  </si>
  <si>
    <t>АОСР_старый</t>
  </si>
  <si>
    <t>АООК_старый</t>
  </si>
  <si>
    <t>Автогенератор</t>
  </si>
  <si>
    <t>Что умеет создавать</t>
  </si>
  <si>
    <t>перечень работ для записи в общий журнал</t>
  </si>
  <si>
    <t>акты освидетельствования скрытых работ</t>
  </si>
  <si>
    <t>акты освидетельствования ответственных конструкций</t>
  </si>
  <si>
    <t>+</t>
  </si>
  <si>
    <t>+7 (904) 618-37-31</t>
  </si>
  <si>
    <t>Если возникла проблема</t>
  </si>
  <si>
    <t>Разработчик</t>
  </si>
  <si>
    <t>Дмитрий Волобуев</t>
  </si>
  <si>
    <t>Выдача предписаний</t>
  </si>
  <si>
    <t>График производства работ</t>
  </si>
  <si>
    <t>Автогенератор.Электро</t>
  </si>
  <si>
    <t>Полезные шаблоны на сайте agenerator.ru</t>
  </si>
  <si>
    <t>Общий журнал работ — онлайн в Гугл-таблицах</t>
  </si>
  <si>
    <t>Итоговый номер акта</t>
  </si>
  <si>
    <t>Условия производства работ</t>
  </si>
  <si>
    <t>Создать реестр исполнительной документации id:</t>
  </si>
  <si>
    <t>Указывать АВК в АОСР</t>
  </si>
  <si>
    <t>нет</t>
  </si>
  <si>
    <t>Код рабочего места</t>
  </si>
  <si>
    <t>Статус лицензии</t>
  </si>
  <si>
    <t>Включать реквизиты организации</t>
  </si>
  <si>
    <t>Создавать PDF-копии актов</t>
  </si>
  <si>
    <t>Создавать приложения к АООК, если документов больше 5</t>
  </si>
  <si>
    <t>Названия материалов в приложении</t>
  </si>
  <si>
    <t>в АОСР в разделе "приложения" сертификаты на материалы будут в таком виде:</t>
  </si>
  <si>
    <t>Настройки отображения в актах</t>
  </si>
  <si>
    <t>реестр комплекта ИД</t>
  </si>
  <si>
    <t>АОГРОКС</t>
  </si>
  <si>
    <t>Акт освидетельствования геодезической разбивочной основы объекта капитального строительства</t>
  </si>
  <si>
    <t>АРООКС</t>
  </si>
  <si>
    <t>Акт разбивки осей объекта капитального строительства на местности</t>
  </si>
  <si>
    <t>АОУСИТО</t>
  </si>
  <si>
    <t>Акт освидетельствования участков сетей инженерно-технического обеспечения</t>
  </si>
  <si>
    <t>Протокол</t>
  </si>
  <si>
    <t>Число материалов</t>
  </si>
  <si>
    <t>№
п/п</t>
  </si>
  <si>
    <t>Дата
доставки</t>
  </si>
  <si>
    <t>Наименование материалов, изделий, конструкций, оборудования</t>
  </si>
  <si>
    <t>Кол-во</t>
  </si>
  <si>
    <t>Наименование и номер документа изготовителя</t>
  </si>
  <si>
    <t>Результат проверки сопроводительных документов производителя и визуального осмотра на соответствие требованиям утверждённой проектной документации и соответствующим документам по стандартизации</t>
  </si>
  <si>
    <t>Решение о необходимости проведения лабораторного контроля</t>
  </si>
  <si>
    <t>Результат лабораторного контроля</t>
  </si>
  <si>
    <t>Подпись лица, осуществляющего контроль</t>
  </si>
  <si>
    <t>Необходимость контроля</t>
  </si>
  <si>
    <t>Журнал входного контроля</t>
  </si>
  <si>
    <t>Группа ВК</t>
  </si>
  <si>
    <t>Whatsapp, ТГ, звонки</t>
  </si>
  <si>
    <t>Посмотрите, пожалуйста, полное видеоруководство.</t>
  </si>
  <si>
    <t xml:space="preserve">В нём рассказано про все особенности работы в Автогенераторе ИД — </t>
  </si>
  <si>
    <t>от распаковки архива до создания актов, реестров и журналов.</t>
  </si>
  <si>
    <t>https://vk.com/ag_id</t>
  </si>
  <si>
    <t>ТГ-канал</t>
  </si>
  <si>
    <t>Как начать работу</t>
  </si>
  <si>
    <t>https://t.me/agen_id</t>
  </si>
  <si>
    <t>https://agenerator.ru/guide/#feedback</t>
  </si>
  <si>
    <t>Сообщить об ошибке</t>
  </si>
  <si>
    <t>Удалять пустую строку Авторского надзора</t>
  </si>
  <si>
    <t>Удалять пустую строку Подрядчика</t>
  </si>
  <si>
    <t>Удалять пустую строку Иного</t>
  </si>
  <si>
    <t>Удаление строк без представителей в актах</t>
  </si>
  <si>
    <t>Нажмите на кнопку и подтвердите операцию.</t>
  </si>
  <si>
    <t>Будут очищены все данные в указанной таблице.</t>
  </si>
  <si>
    <t>Название_работ</t>
  </si>
  <si>
    <t>Дата_акта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</si>
  <si>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</si>
  <si>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</si>
  <si>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</si>
  <si>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</si>
  <si>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</si>
  <si>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</si>
  <si>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</si>
  <si>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</si>
  <si>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</si>
  <si>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Акт о проведении испытания систем канализации и водостоков</t>
  </si>
  <si>
    <t>Наименование_объекта</t>
  </si>
  <si>
    <t>город</t>
  </si>
  <si>
    <t>день_а</t>
  </si>
  <si>
    <t>месяц_а</t>
  </si>
  <si>
    <t>год_а</t>
  </si>
  <si>
    <t>Должность_ФИО_Застройщика</t>
  </si>
  <si>
    <t>Должность_ФИО_Генподрядчика</t>
  </si>
  <si>
    <t>Должность_ФИО_Подрядчика</t>
  </si>
  <si>
    <t>Юрлицо_Подрядчика</t>
  </si>
  <si>
    <t>Юрлицо_Проектировщика</t>
  </si>
  <si>
    <t>Наименование_Чертежей</t>
  </si>
  <si>
    <t>Руководитель направления ООО "Заказчик" Петров А.А.</t>
  </si>
  <si>
    <t>Начальник участка ООО "Генподряд" Петров В.В.</t>
  </si>
  <si>
    <t>Прораб ООО "Подряд" Шишкин С.Н.</t>
  </si>
  <si>
    <t>ООО "Подряд"</t>
  </si>
  <si>
    <t>ООО "Проект"</t>
  </si>
  <si>
    <t>ВК-1/5432</t>
  </si>
  <si>
    <t>Пролив</t>
  </si>
  <si>
    <t>Перенос данных из другого файла</t>
  </si>
  <si>
    <t>Нажмите на кнопку и выберите файл Автогенератора ИД.</t>
  </si>
  <si>
    <t>Все существующие данные заменятся.</t>
  </si>
  <si>
    <t>Очистка таблиц</t>
  </si>
  <si>
    <t>Акт гидростатического или манометрического испытания на герметичность</t>
  </si>
  <si>
    <t>АГИ</t>
  </si>
  <si>
    <t>Акт приемки оборудования после комплексного опробования</t>
  </si>
  <si>
    <t>АПрОб</t>
  </si>
  <si>
    <t>Промывка</t>
  </si>
  <si>
    <t>Акт о проведении промывки (продувки) трубопроводов</t>
  </si>
  <si>
    <t>Протяжённость</t>
  </si>
  <si>
    <t>Среда_давление_расход</t>
  </si>
  <si>
    <t>вода, 2 Мпа, 10 л/с</t>
  </si>
  <si>
    <t>100 м</t>
  </si>
  <si>
    <t>Наименование трубопровода</t>
  </si>
  <si>
    <t>Трубопровод В1 стояк 1, 2</t>
  </si>
  <si>
    <t>Система хозяйственно-питьевого водоснабжения</t>
  </si>
  <si>
    <t>Наименование_системы</t>
  </si>
  <si>
    <t>ОтЭфД</t>
  </si>
  <si>
    <t xml:space="preserve">Акт теплового испытания системы центрального отопления на эффект действия </t>
  </si>
  <si>
    <t>Местоположение системы</t>
  </si>
  <si>
    <t>Т_наружного_воздуха</t>
  </si>
  <si>
    <t>Т_воды_в_котлах</t>
  </si>
  <si>
    <t>Т_обратной_магистрали</t>
  </si>
  <si>
    <t>Напор_мм_рт_столба</t>
  </si>
  <si>
    <t>Т_воздуха_помещ</t>
  </si>
  <si>
    <t>Система ОВ-1 секция 1</t>
  </si>
  <si>
    <t>Акт о проведении индивидуального испытания оборудования</t>
  </si>
  <si>
    <t>АИИО</t>
  </si>
  <si>
    <t>Название оборудоания</t>
  </si>
  <si>
    <t>Время_обкатки</t>
  </si>
  <si>
    <t>Насосная станция WILO 123</t>
  </si>
  <si>
    <t>Адрес графиков</t>
  </si>
  <si>
    <t>id графика</t>
  </si>
  <si>
    <t>ЖВК</t>
  </si>
  <si>
    <t>Создавать ЖВК только на материалы в актах</t>
  </si>
  <si>
    <t>Название АВК</t>
  </si>
  <si>
    <t>Создать АВК</t>
  </si>
  <si>
    <t>Участок</t>
  </si>
  <si>
    <t>Технические нормы соответствия (ГОСТ, ТУ)</t>
  </si>
  <si>
    <t>Завод изготовитель</t>
  </si>
  <si>
    <t>Вид осмотра</t>
  </si>
  <si>
    <t>Геометрические размеры</t>
  </si>
  <si>
    <t>Поставщик (Заказчик, подрядчик)</t>
  </si>
  <si>
    <t>Заводской номер, номер партии</t>
  </si>
  <si>
    <t>Привязка (оси, координаты)</t>
  </si>
  <si>
    <t>Номер и дата протокола испытания при необходимости</t>
  </si>
  <si>
    <t>Описание несоответствия</t>
  </si>
  <si>
    <t>Характеристики мех. свойств</t>
  </si>
  <si>
    <t>Меры, предпринятые по устранению несоответствующей продукции</t>
  </si>
  <si>
    <t>Отметка об устранении несоответствия (результат, дата)</t>
  </si>
  <si>
    <t>Индекс категории пригодности</t>
  </si>
  <si>
    <t>№ чертежа,  проекта</t>
  </si>
  <si>
    <t>Фамилия, инициалы, подпись ответственного за проведение входного контроля</t>
  </si>
  <si>
    <t>Примечание</t>
  </si>
  <si>
    <t>АОРПИ</t>
  </si>
  <si>
    <t>ЖВЗП</t>
  </si>
  <si>
    <t>Данные для журнала входного контроля</t>
  </si>
  <si>
    <t>Данные для журнала верификации закупленной продукции</t>
  </si>
  <si>
    <t>Данные для акта о результатах проверки изделий</t>
  </si>
  <si>
    <t>Геом. размеры</t>
  </si>
  <si>
    <t>ТУ</t>
  </si>
  <si>
    <t>Соответствие по</t>
  </si>
  <si>
    <t>Номер партии</t>
  </si>
  <si>
    <t>Привязка</t>
  </si>
  <si>
    <t>Акты входного контроля</t>
  </si>
  <si>
    <t>Код строительства</t>
  </si>
  <si>
    <t>Представитель строительной организации</t>
  </si>
  <si>
    <t>Представитель службы контроля качества</t>
  </si>
  <si>
    <t>Представитель Заказчика</t>
  </si>
  <si>
    <t>Представитель иного лица</t>
  </si>
  <si>
    <t>Подключение к графику</t>
  </si>
  <si>
    <t>другие акты из приказа Минстроя 344/пр и любые другие по вашему шаблону</t>
  </si>
  <si>
    <t>Изменяйте порядок и видимость документов в приложении</t>
  </si>
  <si>
    <t>Порядок документов в разделе "Приложения" в АОСР</t>
  </si>
  <si>
    <t>Порядок документов в реестре ИД "по актам"</t>
  </si>
  <si>
    <t>Вы можете поручить кому-то вести выполненные работы с помощью:</t>
  </si>
  <si>
    <t>графика Excel (скачайте файл и укажите путь до графика)</t>
  </si>
  <si>
    <t>Google-таблицы (скопируйте себе таблицу, расшарьте её и укажите ссылку)</t>
  </si>
  <si>
    <t>сервиса https://journal.agenerator.ru/ (создаёте журнал и укажите токен)</t>
  </si>
  <si>
    <t>Видео</t>
  </si>
  <si>
    <t>Для экономии места шаблоны, которые отмечены голубой заливкой, по умолчанию скрыты.</t>
  </si>
  <si>
    <t>Чтобы показать их, нажмите правой кнопкой на любую вкладку внизу → Показать.</t>
  </si>
  <si>
    <t>Удалять пустую строку СК Генподрядчика</t>
  </si>
  <si>
    <t>Удалять пустую строку Генподрядчика</t>
  </si>
  <si>
    <t>Защита листов</t>
  </si>
  <si>
    <t>Блокировку можно снять вручную. Все листы без пароля.</t>
  </si>
  <si>
    <t>Автоматически блокировать лист [Акты]</t>
  </si>
  <si>
    <t>Автоматически блокировать лист [Материалы]</t>
  </si>
  <si>
    <t>Некоторые листы автоматически блокируются, чтобы при работе случайно не удалить что-то лишнее.</t>
  </si>
  <si>
    <t>«Проектирование, строительство и реконструкция Международного детского центра «Артек», Республика Крым. Детский лагерь «Солнечный» 5 этап (Инженерная защита центра инновационных образовательных технологий. Центр инновационных образовательных технологий)»</t>
  </si>
  <si>
    <t>ООО «ГК «ТСИ»</t>
  </si>
  <si>
    <t>Название системы</t>
  </si>
  <si>
    <t>Число_приборов</t>
  </si>
  <si>
    <t>Минут_пролива</t>
  </si>
  <si>
    <t>Пролив системы К1, К2 секции 1</t>
  </si>
  <si>
    <t>Метод_испытаний</t>
  </si>
  <si>
    <t>Давление_МПА</t>
  </si>
  <si>
    <t>Время_мин</t>
  </si>
  <si>
    <t>Падение_Мпа</t>
  </si>
  <si>
    <t>давление_кг</t>
  </si>
  <si>
    <t>падение_кг</t>
  </si>
  <si>
    <t>Система Т1, Т2</t>
  </si>
  <si>
    <t>манометрическим</t>
  </si>
  <si>
    <t>Название оборудования</t>
  </si>
  <si>
    <t>Дата_начала</t>
  </si>
  <si>
    <t>Дата_окончания</t>
  </si>
  <si>
    <t>Где_смонтировано</t>
  </si>
  <si>
    <t>Должность_ФИО_Эксплуатации</t>
  </si>
  <si>
    <t>Должность_ФИО_Проектировщика</t>
  </si>
  <si>
    <t>Юрлицо_исполнителя</t>
  </si>
  <si>
    <t>Документ_для_обследования</t>
  </si>
  <si>
    <t>Номер_приложения_дефектов</t>
  </si>
  <si>
    <t>Номер_приложения_допработ</t>
  </si>
  <si>
    <t>день_н</t>
  </si>
  <si>
    <t>месяц_н</t>
  </si>
  <si>
    <t>год_н</t>
  </si>
  <si>
    <t>день_о</t>
  </si>
  <si>
    <t>месяц_о</t>
  </si>
  <si>
    <t>год_о</t>
  </si>
  <si>
    <t>день_а2</t>
  </si>
  <si>
    <t>месяц_а2</t>
  </si>
  <si>
    <t>год_а2</t>
  </si>
  <si>
    <t>Вентиляционная установка</t>
  </si>
  <si>
    <t>Цех 1</t>
  </si>
  <si>
    <t>Прораб ООО "Эксплуатация" Блок А.А.</t>
  </si>
  <si>
    <t>ГИП ООО "Проект" Иванов Г.П.</t>
  </si>
  <si>
    <t>-</t>
  </si>
  <si>
    <t>«Проектирование, строительство и реконструкция Международного детского центра «Артек», Республика Крым. Детский лагерь «Солнечный» 5 этап (Инженерная защита центра инновационных образовательных технологий. Центр инновационных образовательных технологий)» по адресу: респ. Крым, г.о. Ялта, пгт. Гурзуф, ул. Ленинградская</t>
  </si>
  <si>
    <t>СП 1.13130.2009 с Изм. 1</t>
  </si>
  <si>
    <t>Системы противопожарной защиты. Эвакуационные пути и выходы</t>
  </si>
  <si>
    <t>СП 2.13130.2012 с Изм. 1</t>
  </si>
  <si>
    <t>Системы противопожарной защиты. Обеспечение огнестойкости объектов защиты</t>
  </si>
  <si>
    <t>СП 3.13130.2009</t>
  </si>
  <si>
    <t>Системы противопожарной защиты. Система оповещения и управления эвакуацией людей при пожаре. Требования пожарной безопасности</t>
  </si>
  <si>
    <t>СП 4.13130.2013 с Изм. 1</t>
  </si>
  <si>
    <t>Системы противопожарной защиты. Ограничение распространения пожара на объектах защиты. Требования к объемнопланировочным и конструктивным решениям</t>
  </si>
  <si>
    <t>СП 5.13130.2009 с Изм. 1</t>
  </si>
  <si>
    <t>Системы противопожарной защиты. Установки пожарной сигнализации и пожаротушения автоматические. Нормы и правила проектирования</t>
  </si>
  <si>
    <t>СП 6.13130.2013</t>
  </si>
  <si>
    <t>Системы противопожарной защиты. Электрооборудование. Требования пожарной безопасности</t>
  </si>
  <si>
    <t>СП 7.13130.2013</t>
  </si>
  <si>
    <t>Отопление, вентиляция и кондиционирование. Требования пожарной безопасности</t>
  </si>
  <si>
    <t>СП 8.13130.2009 с Изм. 1</t>
  </si>
  <si>
    <t>Системы противопожарной защиты. Источники наружного противопожарного водоснабжения. Требования пожарной безопасности</t>
  </si>
  <si>
    <t>СП 9.13130.2009</t>
  </si>
  <si>
    <t>Техника пожарная. Огнетушители. Требования к эксплуатации</t>
  </si>
  <si>
    <t>СП 10.13130.2009 с Изм. 1</t>
  </si>
  <si>
    <t>Системы противопожарной защиты. Внутренний противопожарный водопровод. Требования пожарной безопасности</t>
  </si>
  <si>
    <t>СП 11.13130.2009 с Изм. 1</t>
  </si>
  <si>
    <t>Места дислокации подразделений пожарной охраны. Порядок и методика определения</t>
  </si>
  <si>
    <t>СП 12.13130.2009 с Изм. 1</t>
  </si>
  <si>
    <t>Определение категорий помещений, зданий и наружных установок по взрывопожарной и пожарной опасности</t>
  </si>
  <si>
    <t>СП 13.13130.2009 с Изм. 1</t>
  </si>
  <si>
    <t>Атомные станции. Требования пожарной безопасности</t>
  </si>
  <si>
    <t>СП 14.13330.2018</t>
  </si>
  <si>
    <t>Строительство в сейсмических районах</t>
  </si>
  <si>
    <t>СП 15.13330.2020</t>
  </si>
  <si>
    <t>Каменные и армокаменные конструкции</t>
  </si>
  <si>
    <t>СП 16.13330.2017</t>
  </si>
  <si>
    <t>Стальные конструкции</t>
  </si>
  <si>
    <t>СП 17.13330.2017</t>
  </si>
  <si>
    <t>Кровли</t>
  </si>
  <si>
    <t>СП 18.13330.2019</t>
  </si>
  <si>
    <t>Производственные объекты. Планировочная организация земельного участка</t>
  </si>
  <si>
    <t>СП 19.13330.2019</t>
  </si>
  <si>
    <t>Сельскохозяйственные предприятия. Планировочная организация земельного участка</t>
  </si>
  <si>
    <t>СП 20.13330.2016</t>
  </si>
  <si>
    <t>Нагрузки и воздействия</t>
  </si>
  <si>
    <t>СП 21.13330.2012</t>
  </si>
  <si>
    <t>Здания и сооружения на подрабатываемых территориях и просадочных грунтах</t>
  </si>
  <si>
    <t>СП 22.13330.2016</t>
  </si>
  <si>
    <t>Основания зданий и сооружений</t>
  </si>
  <si>
    <t>СП 23.13330.2018</t>
  </si>
  <si>
    <t>Основания гидротехнических сооружений</t>
  </si>
  <si>
    <t>СП 24.13330.2021</t>
  </si>
  <si>
    <t>Свайные фундаменты</t>
  </si>
  <si>
    <t>СП 25.13330.2020</t>
  </si>
  <si>
    <t>Основания и фундаменты на вечномерзлых грунтах</t>
  </si>
  <si>
    <t>СП 26.13330.2012</t>
  </si>
  <si>
    <t>Фундаменты машин с динамическими нагрузками</t>
  </si>
  <si>
    <t>СП 27.13330.2017</t>
  </si>
  <si>
    <t>Бетонные и железобетонные конструкции, предназначенные для работы в условиях воздействия повышенных и высоких температур</t>
  </si>
  <si>
    <t>СП 28.13330.2017</t>
  </si>
  <si>
    <t>Защита строительных конструкций от коррозии</t>
  </si>
  <si>
    <t>СП 29.13330.2011</t>
  </si>
  <si>
    <t>Полы</t>
  </si>
  <si>
    <t>СП 30.13330.2020</t>
  </si>
  <si>
    <t>Внутренний водопровод и канализация зданий</t>
  </si>
  <si>
    <t>СП 31.13330.2021</t>
  </si>
  <si>
    <t>Водоснабжение. Наружные сети и сооружения</t>
  </si>
  <si>
    <t>СП 32.13330.2018</t>
  </si>
  <si>
    <t>Канализация. Наружные сети и сооружения</t>
  </si>
  <si>
    <t>СП 33.13330.2012</t>
  </si>
  <si>
    <t>Расчет на прочность стальных трубопроводов</t>
  </si>
  <si>
    <t>СП 34.13330.2021</t>
  </si>
  <si>
    <t>Автомобильные дороги</t>
  </si>
  <si>
    <t>СП 35.13330.2011</t>
  </si>
  <si>
    <t>Мосты и трубы</t>
  </si>
  <si>
    <t>СП 36.13330.2012</t>
  </si>
  <si>
    <t>Магистральные трубопроводы</t>
  </si>
  <si>
    <t>СП 37.13330.2012</t>
  </si>
  <si>
    <t>Промышленный транспорт</t>
  </si>
  <si>
    <t>СП 38.13330.2018</t>
  </si>
  <si>
    <t>Нагрузки и воздействия на гидротехнические сооружения (волновые, ледовые и от судов)</t>
  </si>
  <si>
    <t>СП 39.13330.2012</t>
  </si>
  <si>
    <t>Плотины из грунтовых материалов</t>
  </si>
  <si>
    <t>СП 40.13330.2012</t>
  </si>
  <si>
    <t>Плотины бетонные и железобетонные</t>
  </si>
  <si>
    <t>СП 41.13330.2012</t>
  </si>
  <si>
    <t>Бетонные и железобетонные конструкции гидротехнических сооружений</t>
  </si>
  <si>
    <t>СП 42.13330.2016</t>
  </si>
  <si>
    <t>Градостроительство. Планировка и застройка городских и сельских поселений</t>
  </si>
  <si>
    <t>СП 43.13330.2012</t>
  </si>
  <si>
    <t>Сооружения промышленных предприятий</t>
  </si>
  <si>
    <t>СП 44.13330.2011</t>
  </si>
  <si>
    <t>Административные и бытовые здания</t>
  </si>
  <si>
    <t>СП 45.13330.2017</t>
  </si>
  <si>
    <t>СП 46.13330.2012</t>
  </si>
  <si>
    <t>СП 47.13330.2016</t>
  </si>
  <si>
    <t>Инженерные изыскания для строительства. Основные положения</t>
  </si>
  <si>
    <t>СП 48.13330.2019</t>
  </si>
  <si>
    <t>Организация строительства</t>
  </si>
  <si>
    <t>СНиП 12-03-2001</t>
  </si>
  <si>
    <t>Безопасность труда в строительстве. Часть 1. Общие требования</t>
  </si>
  <si>
    <t>СНиП 12-04-2002</t>
  </si>
  <si>
    <t>Безопасность труда в строительстве. Часть 2. Строительное производство</t>
  </si>
  <si>
    <t>СП 50.13330.2012</t>
  </si>
  <si>
    <t>Тепловая защита зданий</t>
  </si>
  <si>
    <t>СП 51.13330.2011</t>
  </si>
  <si>
    <t>Защита от шума</t>
  </si>
  <si>
    <t>СП 52.13330.2016</t>
  </si>
  <si>
    <t>Естественное и искусственное освещение</t>
  </si>
  <si>
    <t>СП 53.13330.2019</t>
  </si>
  <si>
    <t>Планировка и застройка территории ведения гражданами садоводства. Здания и сооружения</t>
  </si>
  <si>
    <t>СП 54.13330.2022</t>
  </si>
  <si>
    <t>Здания жилые многоквартирные</t>
  </si>
  <si>
    <t>СП 55.13330.2016</t>
  </si>
  <si>
    <t>Дома жилые одноквартирные</t>
  </si>
  <si>
    <t>СП 56.13330.2021</t>
  </si>
  <si>
    <t>Производственные здания</t>
  </si>
  <si>
    <t>СП 58.13330.2019</t>
  </si>
  <si>
    <t>Гидротехнические сооружения</t>
  </si>
  <si>
    <t>СП 59.13330.2020</t>
  </si>
  <si>
    <t>Доступность зданий и сооружений для маломобильных групп населения</t>
  </si>
  <si>
    <t>СП 60.13330.2020</t>
  </si>
  <si>
    <t>Отопление, вентиляция и кондиционирование воздуха</t>
  </si>
  <si>
    <t>СП 61.13330.2012</t>
  </si>
  <si>
    <t>Тепловая изоляция оборудования и трубопроводов</t>
  </si>
  <si>
    <t>СП 62.13330.2011*</t>
  </si>
  <si>
    <t>Газораспределительные системы</t>
  </si>
  <si>
    <t>СП 63.13330.2018</t>
  </si>
  <si>
    <t>Бетонные и железобетонные конструкции</t>
  </si>
  <si>
    <t>СП 64.13330.2017</t>
  </si>
  <si>
    <t>Деревянные конструкции</t>
  </si>
  <si>
    <t>СП 66.13330.2011</t>
  </si>
  <si>
    <t>Проектирование и строительство напорных сетей водоснабжения и водоотведения с применением высокопрочных труб из чугуна и шаровидным графитом</t>
  </si>
  <si>
    <t>СП 68.13330.2017</t>
  </si>
  <si>
    <t>Приемка в эксплуатацию законченных строительством объектов</t>
  </si>
  <si>
    <t>СП 69.13330.2016</t>
  </si>
  <si>
    <t>Подземные горные выработки</t>
  </si>
  <si>
    <t>СП 70.13330.2012</t>
  </si>
  <si>
    <t>СП 71.13330.2017</t>
  </si>
  <si>
    <t>Изоляционные и отделочные покрытия</t>
  </si>
  <si>
    <t>СП 72.13330.2016</t>
  </si>
  <si>
    <t>Защита строительных конструкций и сооружений от коррозии</t>
  </si>
  <si>
    <t>СП 73.13330.2016</t>
  </si>
  <si>
    <t>Внутренние санитарно-технические системы зданий</t>
  </si>
  <si>
    <t>СП 76.13330.2016</t>
  </si>
  <si>
    <t>Электротехнические устройства</t>
  </si>
  <si>
    <t>СП 77.13330.2016</t>
  </si>
  <si>
    <t>Системы автоматизации</t>
  </si>
  <si>
    <t>СП 78.13330.2012</t>
  </si>
  <si>
    <t>СП 79.13330.2012</t>
  </si>
  <si>
    <t>СП 80.13330.2016</t>
  </si>
  <si>
    <t>Гидротехнические сооружения речные</t>
  </si>
  <si>
    <t>СП 81.13330.2017</t>
  </si>
  <si>
    <t>Мелиоративные системы и сооружения</t>
  </si>
  <si>
    <t>СП 82.13330.2016</t>
  </si>
  <si>
    <t>Благоустройство территорий</t>
  </si>
  <si>
    <t>СП 83.13330.2016</t>
  </si>
  <si>
    <t>Промышленные печи и кирпичные трубы</t>
  </si>
  <si>
    <t>СП 84.13330.2016</t>
  </si>
  <si>
    <t>Трамвайные пути</t>
  </si>
  <si>
    <t>СП 85.13330.2016</t>
  </si>
  <si>
    <t>Контактные сети электрифицированного транспорта</t>
  </si>
  <si>
    <t>СП 86.13330.2022</t>
  </si>
  <si>
    <t>СП 88.13330.2022</t>
  </si>
  <si>
    <t>Защитные сооружения гражданской обороны</t>
  </si>
  <si>
    <t>СП 89.13330.2016</t>
  </si>
  <si>
    <t>Котельные установки</t>
  </si>
  <si>
    <t>СП 90.13330.2012</t>
  </si>
  <si>
    <t>Электростанции тепловые</t>
  </si>
  <si>
    <t>СП 91.13330.2012</t>
  </si>
  <si>
    <t>СП 92.13330.2012</t>
  </si>
  <si>
    <t>Склады сухих минеральных удобрений и химических средств защиты растений</t>
  </si>
  <si>
    <t>СП 93.13330.2016</t>
  </si>
  <si>
    <t>Защитные сооружения гражданской обороны в подземных горных выработках</t>
  </si>
  <si>
    <t>СП 94.13330.2016</t>
  </si>
  <si>
    <t>Приспособление объектов коммунально-бытового назначения для санитарной обработки людей, специальной обработки одежды и подвижного состава автотранспорта</t>
  </si>
  <si>
    <t>СП 95.13330.2016</t>
  </si>
  <si>
    <t>Бетонные и железобетонные конструкции из плотного силикатного бетона</t>
  </si>
  <si>
    <t>СП 96.13330.2016</t>
  </si>
  <si>
    <t>Армоцементные конструкции</t>
  </si>
  <si>
    <t>СП 97.13330.2016</t>
  </si>
  <si>
    <t>Асбестоцементные конструкции</t>
  </si>
  <si>
    <t>СП 98.13330.2018</t>
  </si>
  <si>
    <t>Трамвайные и троллейбусные линии</t>
  </si>
  <si>
    <t>СП 99.13330.2016</t>
  </si>
  <si>
    <t>Внутрихозяйственные автомобильные дороги в колхозах, совхозах и других сельскохозяйственных предприятиях и организациях</t>
  </si>
  <si>
    <t>СП 100.13330.2016</t>
  </si>
  <si>
    <t>СП 95.13330.2011</t>
  </si>
  <si>
    <t>СП 96.13330.2011</t>
  </si>
  <si>
    <t>СП 97.13330.2011</t>
  </si>
  <si>
    <t>СП 98.13330.2012</t>
  </si>
  <si>
    <t>Трамвайные и троллейбусные линии. Актуализированная редакция СНиП 2.05.0990</t>
  </si>
  <si>
    <t>СП 99.13330.2011</t>
  </si>
  <si>
    <t>Внутрихозяйственные автомобильные дороги в колхозах, совхозах и других в сельскохозяйственных предприятиях и организациях</t>
  </si>
  <si>
    <t>Внутрихозяйственные автомобильные дороги в колхозах, совхозах и в других сельскохозяйственных предприятиях и организациях</t>
  </si>
  <si>
    <t>СП 100.13330.2011</t>
  </si>
  <si>
    <t>СП 101.13330.2012</t>
  </si>
  <si>
    <t>Подпорные стены, судоходные шлюзы, рыбопропускные и рыбозащитные сооружения</t>
  </si>
  <si>
    <t>СП 102.13330.2012</t>
  </si>
  <si>
    <t>Туннели гидротехнические</t>
  </si>
  <si>
    <t>СП 103.13330.2012</t>
  </si>
  <si>
    <t>Защита горных выработок от подземных и поверхностных вод</t>
  </si>
  <si>
    <t>СП 104.13330.2016</t>
  </si>
  <si>
    <t>Инженерная защита территорий от затопления и подтопления</t>
  </si>
  <si>
    <t>СП 105.13330.2012</t>
  </si>
  <si>
    <t>Здания и помещения для хранения и переработки сельскохозяйственной продукции</t>
  </si>
  <si>
    <t>СП 106.13330.2012</t>
  </si>
  <si>
    <t>Животноводческие, птицеводческие и звероводческие здания и помещения</t>
  </si>
  <si>
    <t>СП 107.13330.2012</t>
  </si>
  <si>
    <t>Теплицы и парники</t>
  </si>
  <si>
    <t>СП 108.13330.2012</t>
  </si>
  <si>
    <t>Предприятия, здания и сооружения по хранению и переработке зерна</t>
  </si>
  <si>
    <t>СП 109.13330.2012</t>
  </si>
  <si>
    <t>Холодильники</t>
  </si>
  <si>
    <t>СП 113.13330.2016</t>
  </si>
  <si>
    <t>Стоянки автомобилей</t>
  </si>
  <si>
    <t>СП 114.13330.2016</t>
  </si>
  <si>
    <t>Склады лесных материалов. Противопожарные нормы</t>
  </si>
  <si>
    <t>СП 115.13330.2016</t>
  </si>
  <si>
    <t>Геофизика опасных природных воздействий</t>
  </si>
  <si>
    <t>СП 116.13330.2012</t>
  </si>
  <si>
    <t>Инженерная защита территорий, зданий и сооружений от опасных геологических процессов. Основные положения</t>
  </si>
  <si>
    <t>СП 118.13330.2022</t>
  </si>
  <si>
    <t>Общественные здания и сооружения</t>
  </si>
  <si>
    <t>СП 119.13330.2017</t>
  </si>
  <si>
    <t>Железные дороги колеи 1520 мм</t>
  </si>
  <si>
    <t>СП 120.13330.2022</t>
  </si>
  <si>
    <t>Метрополитены</t>
  </si>
  <si>
    <t>СП 121.13330.2019</t>
  </si>
  <si>
    <t>Аэродромы</t>
  </si>
  <si>
    <t>СП 122.13330.2012</t>
  </si>
  <si>
    <t>Тоннели железнодорожные и автодорожные</t>
  </si>
  <si>
    <t>СП 123.13330.2012</t>
  </si>
  <si>
    <t>Подземные хранилища газа</t>
  </si>
  <si>
    <t>СП 124.13330.2012</t>
  </si>
  <si>
    <t>Тепловые сети</t>
  </si>
  <si>
    <t>СП 125.13330.2012</t>
  </si>
  <si>
    <t>Нефтепродуктопроводы, прокладываемые на территории городов и других населенных пунктов</t>
  </si>
  <si>
    <t>СП 126.13330.2017</t>
  </si>
  <si>
    <t>Геодезические работы в строительстве</t>
  </si>
  <si>
    <t>СП 127.13330.2017</t>
  </si>
  <si>
    <t>Полигоны по обезвреживанию и захоронению токсичных промышленных отходов</t>
  </si>
  <si>
    <t>СП 128.13330.2016</t>
  </si>
  <si>
    <t>Алюминиевые конструкции</t>
  </si>
  <si>
    <t>СП 129.13330.2019</t>
  </si>
  <si>
    <t>Наружные сети и сооружения водоснабжения и канализации</t>
  </si>
  <si>
    <t>СП 130.13330.2018</t>
  </si>
  <si>
    <t>Производство сборных железобетонных конструкций и изделий</t>
  </si>
  <si>
    <t>СП 131.13330.2020</t>
  </si>
  <si>
    <t>Строительная климатология</t>
  </si>
  <si>
    <t>СП 132.13330.2011</t>
  </si>
  <si>
    <t>Обеспечение антитеррористической защищенности зданий и сооружений</t>
  </si>
  <si>
    <t>СП 133.13330.2012</t>
  </si>
  <si>
    <t>Сети проводного радиовещания и оповещения в зданиях и сооружениях</t>
  </si>
  <si>
    <t>СП 134.13330.2022</t>
  </si>
  <si>
    <t>Системы электросвязи зданий и сооружений. Основные положения проектирования</t>
  </si>
  <si>
    <t>СП 136.13330.2012</t>
  </si>
  <si>
    <t>Здания и сооружения. Общие положения проектирования с учётом доступности для маломобильных групп населения</t>
  </si>
  <si>
    <t>СП 137.13330.2012</t>
  </si>
  <si>
    <t>Жилая среда с планировочными элементами, доступными инвалидам. Правила проектирования</t>
  </si>
  <si>
    <t>СП 138.13330.2012</t>
  </si>
  <si>
    <t>Общественные здания и сооружения, доступные маломобильным группам населения</t>
  </si>
  <si>
    <t>СП 139.13330.2012</t>
  </si>
  <si>
    <t>Здания и помещения с местами труда для инвалидов</t>
  </si>
  <si>
    <t>СП 140.13330.2012</t>
  </si>
  <si>
    <t>Городская среда. Правила проектирования для маломобильных групп населения</t>
  </si>
  <si>
    <t>СП 141.13330.2012</t>
  </si>
  <si>
    <t>Учреждения социального обслуживания населения. Правила расчета и размещения</t>
  </si>
  <si>
    <t>СП 142.13330.2012</t>
  </si>
  <si>
    <t>Здания центров ресоциализации. Правила проектирования</t>
  </si>
  <si>
    <t>СП 143.13330.2012</t>
  </si>
  <si>
    <t>Помещения для досуговой и физкультурно-оздоровительной деятельности маломобильных групп населения. Правила проектирования</t>
  </si>
  <si>
    <t>СП 163.1325800.2014</t>
  </si>
  <si>
    <t>Конструкции с применением гипсокартонных и гипсоволокнистых листов. Правила проектирования и монтажа</t>
  </si>
  <si>
    <t>СП 138.13330.2012 с Изм. 1</t>
  </si>
  <si>
    <t>Общественные здания и сооружения, доступные маломобильным группам населения. Правила проектирования</t>
  </si>
  <si>
    <t>СП 139.13330.2012 с Изм. 1</t>
  </si>
  <si>
    <t>Здания и помещения с местами труда для инвалидов. Правила проектирования</t>
  </si>
  <si>
    <t>СП 140.13330.2012 с Изм. 1</t>
  </si>
  <si>
    <t>СП 141.13330.2012 с Изм. 1</t>
  </si>
  <si>
    <t>Учреждения социального обслуживания маломобильных групп населения. Правила расчета и размещения</t>
  </si>
  <si>
    <t>СП 142.13330.2012 с Изм. 1</t>
  </si>
  <si>
    <t>Здания центров ресоциализации. Правила проектирования. Актуализированная редакция СП 35-107-2003</t>
  </si>
  <si>
    <t>СП 143.13330.2012 с Изм. 1</t>
  </si>
  <si>
    <t>Помещения для досуговой и физкультурнооздоровительной деятельности маломобильных групп населения. Правила проектирования</t>
  </si>
  <si>
    <t>СП 144.13330.2012 с Изм. 1</t>
  </si>
  <si>
    <t>Центры и отделения гериатрического обслуживания. Правила проектирования</t>
  </si>
  <si>
    <t>СП 145.13330.2012 с Изм. 1</t>
  </si>
  <si>
    <t>Дома-интернаты. Правила проектирования</t>
  </si>
  <si>
    <t>СП 146.13330.2012 с Изм. 1</t>
  </si>
  <si>
    <t>Геронтологические центры, дома сестринского ухода, хосписы. Правила проектирования</t>
  </si>
  <si>
    <t>СП 147.13330.2012 с Изм. 1</t>
  </si>
  <si>
    <t>Здания для учреждений социального обслуживания. Правила реконструкции</t>
  </si>
  <si>
    <t>СП 148.13330.2012 с Изм. 1</t>
  </si>
  <si>
    <t>Помещения в учреждениях социального и медицинского обслуживания. Правила проектирования</t>
  </si>
  <si>
    <t>СП 149.13330.2012 с Изм. 1</t>
  </si>
  <si>
    <t>Реабилитационные центры для детей и подростков с ограниченными возможностями. Правила проектирования</t>
  </si>
  <si>
    <t>СП 150.13330.2012 с Изм. 1</t>
  </si>
  <si>
    <t>Дома-интернаты для детей инвалидов. Правила проектирования</t>
  </si>
  <si>
    <t>СП 151.13330.2012</t>
  </si>
  <si>
    <t>Инженерные изыскания для размещения, проектирования и строительства АЭС</t>
  </si>
  <si>
    <t>СП 152.13330.2012</t>
  </si>
  <si>
    <t>Здания судов общей юрисдикции. Правила проектирования</t>
  </si>
  <si>
    <t>СП 153.13130.2013</t>
  </si>
  <si>
    <t>Инфраструктура железнодорожного транспорта. Требования пожарной безопасности</t>
  </si>
  <si>
    <t>СП 154.13130.2013</t>
  </si>
  <si>
    <t>Встроенные подземные автостоянки. Требования пожарной безопасности</t>
  </si>
  <si>
    <t>СП 155.13130.2014 с Изм. 1</t>
  </si>
  <si>
    <t>Склады нефти и нефтепродуктов. Требования пожарной безопасности</t>
  </si>
  <si>
    <t>СП 156.13130.2014</t>
  </si>
  <si>
    <t>Станции автомобильные заправочные Требования пожарной безопасности</t>
  </si>
  <si>
    <t>СП 157.1328500.2014</t>
  </si>
  <si>
    <t>Правила технологического проектирования нефтеперерабатывающих и нефтехимических комплексов</t>
  </si>
  <si>
    <t>СП 158.13330.2014</t>
  </si>
  <si>
    <t>Здания и помещения медицинских организаций. Правила проектирования</t>
  </si>
  <si>
    <t>СП 159.1325800.2014</t>
  </si>
  <si>
    <t>Cталежелезобетонные пролетные строения автодорожных мостов. Правила расчета</t>
  </si>
  <si>
    <t>СП 160.1325800.2014</t>
  </si>
  <si>
    <t>Здания и комплексы многофункциональные. Правила проектирования</t>
  </si>
  <si>
    <t>СП 161.1326000.2014</t>
  </si>
  <si>
    <t>Электросвязь железнодорожная Правила пользования поездной радиосвязью</t>
  </si>
  <si>
    <t>СП 162.1330610.2014</t>
  </si>
  <si>
    <t>Требования безопасности при производстве, хранении, транспортировании и использовании жидкого водорода</t>
  </si>
  <si>
    <t>СП 164.1325800.2014</t>
  </si>
  <si>
    <t>Усиление железобетонных конструкций композитными материалами. Правила проектирования</t>
  </si>
  <si>
    <t>СП 165.1325800.2014</t>
  </si>
  <si>
    <t>Инженерно-технические мероприятия по гражданской обороне. Актуализированная редакция СНИП 2.01.51-90</t>
  </si>
  <si>
    <t>СП 166.1311500.2014</t>
  </si>
  <si>
    <t>Городские автотранспортные тоннели и путепроводы тоннельного типа с длиной перекрытой части не более 300 м. Требования пожарной безопасности</t>
  </si>
  <si>
    <t>СП 167.1325800.2014</t>
  </si>
  <si>
    <t>Национальное приложение. EN 1999-11:2007. Еврокод 9. Проектирование алюминиевых конструкций. Часть 1-1. Общие строительные правила</t>
  </si>
  <si>
    <t>СП 168.1325800.2014</t>
  </si>
  <si>
    <t>Национальное приложение. EN 1999-12:2007. Еврокод 9. Проектирование алюминиевых конструкций. Часть 1-2. Расчет несущих конструкций с учетом огнестойкости</t>
  </si>
  <si>
    <t>СП 169.1325800.2014</t>
  </si>
  <si>
    <t>Национальное приложение. EN 1999-13:2007. Еврокод 9. Проектирование и расчет алюминиевых конструкций. Часть 1-3. Конструкции, восприимчивые к усталостным нагрузкам</t>
  </si>
  <si>
    <t>СП 170.1325800.2014</t>
  </si>
  <si>
    <t>Национальное приложение. EN 1999-15:2007. Еврокод 9. Проектирование алюминиевых конструкций. Часть 1-5. Строение оболочки</t>
  </si>
  <si>
    <t>СП 171.1325800.2014</t>
  </si>
  <si>
    <t>Национальное приложение. EN 1999-14:2007. Еврокод 9. Проектирование алюминиевых конструкций. Часть 1-4. Холодноформовочные конструкционные листы</t>
  </si>
  <si>
    <t>СП 172.1325800.2014</t>
  </si>
  <si>
    <t>Национальное приложение. EN 1992-12:2004. Еврокод 2. Проектирование бетонных конструкций. Часть 1-2. Общие правила. Проектирование с учетом огнестойкости</t>
  </si>
  <si>
    <t>СП 173.1325800.2014</t>
  </si>
  <si>
    <t>Национальное приложение. EN 1992-3:2006. Еврокод 2. Проектирование бетонных конструкций. Часть 3. Водоподпорные и несущие конструкции</t>
  </si>
  <si>
    <t>СП 174.1325800.2014</t>
  </si>
  <si>
    <t>Национальное приложение. EN 1992-2:2005. Еврокод 2. Проектирование бетонных конструкций. Часть 2. Железобетонные мосты. Проектирование и правила конструирования</t>
  </si>
  <si>
    <t>СП 175.1325800.2014</t>
  </si>
  <si>
    <t>Национальное приложение. EN 1991-11:2002. Еврокод 3. Проектирование стальных конструкций. Часть 3-1. Башни, мачты и дымовые трубы. Башни и мачты</t>
  </si>
  <si>
    <t>СП 176.1325800.2014</t>
  </si>
  <si>
    <t>Национальное приложение. EN 1991-11:2002. Еврокод 1. Воздействие на строительные конструкции. Часть 1-1. Общие воздействия. Плотность, собственный вес и прилагаемые нагрузки на здания</t>
  </si>
  <si>
    <t>СП 177.1325800.2014</t>
  </si>
  <si>
    <t>Национальное приложение. EN 1991-3:2006. Еврокод 1. Воздействие на строительные конструкции. Часть 3. Воздействия кранов и машин</t>
  </si>
  <si>
    <t>СП 178.1325800.2014</t>
  </si>
  <si>
    <t>Национальное приложение. EN 1991-4:2006. Еврокод 1. Воздействие на строительные конструкции. Часть 4. Воздействия на силосные сооружения и резервуары с водой</t>
  </si>
  <si>
    <t>СП 179.1325800.2014</t>
  </si>
  <si>
    <t>Национальное приложение. EN 1993-42:2007. Еврокод 3. Проектирование стальных конструкций. Часть 4-2. Резервуары</t>
  </si>
  <si>
    <t>СП 180.1325800.2014</t>
  </si>
  <si>
    <t>Национальное приложение. EN 1993-41:2007. Еврокод 3. Проектирование стальных конструкций. Часть 4-1. Элеваторы зерновые</t>
  </si>
  <si>
    <t>СП 181.1325800.2014</t>
  </si>
  <si>
    <t>Национальное приложение. EN 1993-32:2006. Еврокод 3. Проектирование стальных конструкций. Часть 3-2. Башни, мачты и дымовые трубы. Дымовые трубы</t>
  </si>
  <si>
    <t>СП 182.1325800.2014</t>
  </si>
  <si>
    <t>Национальное приложение. EN 1993-43:2007. Еврокод 3. Проектирование стальных конструкций. Часть 4-3. Трубопроводы</t>
  </si>
  <si>
    <t>СП 183.1325800.2014</t>
  </si>
  <si>
    <t>Национальное приложение. EN 1993-6:2007. Еврокод 3. Проектирование стальных конструкций. Часть 6. Опорные стропы кранов</t>
  </si>
  <si>
    <t>СП 184.1325800.2014</t>
  </si>
  <si>
    <t>Национальное приложение. EN 1993-112:2007. Еврокод 3. Проектирование стальных конструкций. Часть 1-12. Дополнительные правила для расширения области EN 1993 до включения марок стали S 700</t>
  </si>
  <si>
    <t>СП 185.1325800.2014</t>
  </si>
  <si>
    <t>Национальное приложение. EN 1993-5:2007. Еврокод 3. Проектирование стальных конструкций. Часть 5. Свайные сооружения</t>
  </si>
  <si>
    <t>СП 186.1325800.2014</t>
  </si>
  <si>
    <t>Национальное приложение. EN 1998-1:2004. Еврокод 8. Проектирование строительных конструкций с учетом сейсмостойкости. Часть 1. Общие правила, сейсмическое воздействие и правила для зданий</t>
  </si>
  <si>
    <t>СП 187.1325800.2014</t>
  </si>
  <si>
    <t>Национальное приложение. EN 1993-11:2005. Еврокод 3. Проектирование стальных конструкций. Часть 1-1. Общие правила и правила для зданий</t>
  </si>
  <si>
    <t>СП 188.1325800.2014</t>
  </si>
  <si>
    <t>Национальное приложение. EN 1993-12:2005. Еврокод 3. Проектирование стальных конструкций. Часть 1-2. Общие правила. Проектирование конструкций с учетом огнестойкости</t>
  </si>
  <si>
    <t>СП 189.1325800.2014</t>
  </si>
  <si>
    <t>Национальное приложение. EN 1993-13:2006. Еврокод 3. Проектирование стальных конструкций. Часть 1-3. Общие правила. Дополнительные правила для холодноформованных элементов и листов</t>
  </si>
  <si>
    <t>СП 190.1325800.2014</t>
  </si>
  <si>
    <t>EN 1993-1-11:2006. Еврокод 3. Проектирование стальных конструкций. Часть 1-11. Проектирование конструкций с натяжными компонентами</t>
  </si>
  <si>
    <t>СП 191.1325800.2014</t>
  </si>
  <si>
    <t>Национальное приложение. EN 1993-110:2005. Еврокод 3. Проектирование стальных конструкций. Часть 1-10. Прочность материала и свойства равнопрочности</t>
  </si>
  <si>
    <t>СП 192.1325800.2014</t>
  </si>
  <si>
    <t>Национальное приложение. EN 1993-19:2005. Еврокод 3. Проектирование стальных конструкций. Часть 1-9. Усталость</t>
  </si>
  <si>
    <t>СП 193.1325800.2014</t>
  </si>
  <si>
    <t>Национальное приложение. EN 1993-18:2005. Еврокод 3. Проектирование стальных конструкций. Часть 1-8. Проектирование стыков</t>
  </si>
  <si>
    <t>СП 194.1325800.2014</t>
  </si>
  <si>
    <t>Национальное приложение. EN 1993-17:2007. Еврокод 3. Проектирование стальных конструкций. Часть 1-7. Структуры с покрытием, подвергаемые внеплоскостному нагружению</t>
  </si>
  <si>
    <t>СП 195.1325800.2014</t>
  </si>
  <si>
    <t>Национальное приложение. EN 1993-16:2007. Еврокод 3. Проектирование стальных конструкций. Часть 1-6. Прочность и устойчивость оболочки</t>
  </si>
  <si>
    <t>СП 196.1325800.2014</t>
  </si>
  <si>
    <t>Национальное приложение. EN 1993-1-5:2006 Еврокод 3. Прое ктирование стальных конструкций. Часть 1-5. Элементы пластинчатых конструкций</t>
  </si>
  <si>
    <t>СП 197.1325800.2014</t>
  </si>
  <si>
    <t>Национальное приложение. EN 1993-2:2006 Еврокод 3. Проектирование стальных конструкций. Часть 2. Стальные мосты</t>
  </si>
  <si>
    <t>СП 198.1325800.2014</t>
  </si>
  <si>
    <t>Национальное приложение. EN 1993-14:2006. Еврокод 3. Проектирование стальных конструкций. Часть 1-4. Общие правила. Дополнительные правила для конструкций из нержавеющих сталей</t>
  </si>
  <si>
    <t>СП 199.1325800.2014</t>
  </si>
  <si>
    <t>Национальное приложение. EN 1991-12:2002. Еврокод 1. Воздействие огня на строительные конструкции</t>
  </si>
  <si>
    <t>СП 200.1325800.2014</t>
  </si>
  <si>
    <t>Национальное приложение. EN 1991-1-3:2003 Еврокод 1. Воздействие на строительные конструкции. Часть 1-3. Общие воздействия. Снеговые нагрузки</t>
  </si>
  <si>
    <t>СП 201.1325800.2014</t>
  </si>
  <si>
    <t>Национальное приложение. EN 1991-14:2005. Еврокод 1. Воздействие на строительные конструкции. Часть 1-4. Общие воздействия. Ветровые нагрузки</t>
  </si>
  <si>
    <t>СП 202.1325800.2014</t>
  </si>
  <si>
    <t>Национальное приложение. EN 1991-15:2003. Еврокод 1. Воздействие на строительные конструкции. Часть 1-5. Общие воздействия. Температурные нагрузки</t>
  </si>
  <si>
    <t>СП 203.1325800.2014</t>
  </si>
  <si>
    <t>Национальное приложение. EN 1994-2:2005. Еврокод 4. Проектирование конструкций из многослойной стали и бетона. Часть 2. Общие правила и правила для мостов</t>
  </si>
  <si>
    <t>СП 204.1325800.2014</t>
  </si>
  <si>
    <t>Национальное приложение. EN 1991-2:2003. Еврокод 1. Воздействие на строительные конструкции. Часть 2. Транспортные нагрузки на мосты</t>
  </si>
  <si>
    <t>СП 205.1325800.2014</t>
  </si>
  <si>
    <t>Национальное приложение. EN 1991-17:2006. Еврокод 1. Воздействие на строительные конструкции. Часть 1-7. Общие воздействия. Случайные воздействия</t>
  </si>
  <si>
    <t>СП 206.1325800.2014</t>
  </si>
  <si>
    <t>Национальное приложение. EN 1991-16:2005. Еврокод 1. Воздействие на строительные конструкции. Часть 1-6. Общие воздействия. Воздействия во время исполнения</t>
  </si>
  <si>
    <t>СП 207.1325800.2014</t>
  </si>
  <si>
    <t>Национальное приложение. EN 1996-3:2006. Еврокод 6. Проектирование кирпичных конструкций. Часть 3. Упрощенные методы расчета для неармированных кирпичных конструкций</t>
  </si>
  <si>
    <t>СП 208.1325800.2014</t>
  </si>
  <si>
    <t>Национальное приложение. EN 1996-2:2006. Еврокод 6. Проектирование кирпичных конструкций. Часть 2. Проектирование, выбор материала и выполнение каменной кладки</t>
  </si>
  <si>
    <t>СП 209.1325800.2014</t>
  </si>
  <si>
    <t>Национальное приложение. EN 1996-12:2005. Еврокод 6. Проектирование кирпичных конструкций. Часть 1-2. Общие правила. Проектирование с учетом огнестойкости</t>
  </si>
  <si>
    <t>СП 210.1325800.2014</t>
  </si>
  <si>
    <t>Национальное приложение. EN 1995-12:2004. Еврокод 5. Проектирование деревянных конструкций. Часть 1-2. Общие положения. Расчет с учетом огнестойкости</t>
  </si>
  <si>
    <t>СП 211.1325800.2014</t>
  </si>
  <si>
    <t>Национальное приложение. EN 1995-2:2004. Еврокод 5. Проектирование деревянных конструкций. Часть 2. Мосты</t>
  </si>
  <si>
    <t>СП 212.1325800.2014</t>
  </si>
  <si>
    <t>Национальное приложение. EN 1998-6:2005. Еврокод 8. Проектирование строительных конструкций с учетом сейсмостойкости. Часть 6. Башни, мачты и дымовые трубы</t>
  </si>
  <si>
    <t>СП 213.1325800.2014</t>
  </si>
  <si>
    <t>Национальное приложение. EN 1998-5:2004. Еврокод 8. Проектирование строительных конструкций с учетом сейсмостойкости. Часть 5. Фундаменты, подпорные стенки и геотехнические аспекты</t>
  </si>
  <si>
    <t>СП 214.1325800.2014</t>
  </si>
  <si>
    <t>Национальное приложение. EN 1998-4:2006. Еврокод 8. Проектирование строительных конструкций с учетом сейсмостойкости. Часть 4. Шахты, хранилища и трубопроводы</t>
  </si>
  <si>
    <t>СП 215.1325800.2014</t>
  </si>
  <si>
    <t>Национальное приложение. EN 1998-3:2005. Еврокод 8. Проектирование строительных конструкций с учетом сейсмостойкости. Часть 3. Оценка и реконструкция зданий</t>
  </si>
  <si>
    <t>СП 216.1325800.2014</t>
  </si>
  <si>
    <t>Национальное приложение. EN 1994-1-1:2004 Еврокод 4. Проектирование конструкций из стали и бетона. Часть 1-1. Общие правила и правила для зданий</t>
  </si>
  <si>
    <t>СП 217.1325800.2014</t>
  </si>
  <si>
    <t>Национальное приложение. EN 1998-2:2005 Еврокод 8. Проектирование строительных конструкций с учетом сейсмостойкости. Часть 2. Мосты</t>
  </si>
  <si>
    <t>СП 218.1325800.2014</t>
  </si>
  <si>
    <t>Национальное приложение. EN 1995-1-1:2004 Еврокод 5. Проектирование деревянных конструкций. Часть 1-1. Общие положения. Общие правила расчета и правила расчета для высотных зданий</t>
  </si>
  <si>
    <t>СП 219.1325800.2014</t>
  </si>
  <si>
    <t>Национальное приложение. EN 1992-1-1:2004 Еврокод 2. Проектирование железобетонных конструкций. Часть 1-1. Общие правила и правила для зданий</t>
  </si>
  <si>
    <t>СП 220.1325800.2014</t>
  </si>
  <si>
    <t>Национальное приложение. EN 1994-1-2:2005. Eurocode 4: Design of composite steel and concrete structures – Part 1-2: General rules - Structural fire design</t>
  </si>
  <si>
    <t>СП 221.1325800.2014</t>
  </si>
  <si>
    <t>Национальное приложение. EN 1990:2002 Еврокод 0. Основные положения по проектированию строительных конструкций</t>
  </si>
  <si>
    <t>СП 222.1325800.2014</t>
  </si>
  <si>
    <t>Национальное приложение. EN 1996-1-1:2005 Еврокод 6. Проектирование кирпичных конструкций. Часть 1-1. Общие правила для армированных и неармированных кирпичных конструкций</t>
  </si>
  <si>
    <t>СП 223.1326000.2014</t>
  </si>
  <si>
    <t>Электросвязь железнодорожная. Правила пользования стационарной радиосвязью двухсторонней парковой связью</t>
  </si>
  <si>
    <t>СП 224.132600.2014</t>
  </si>
  <si>
    <t>Тяговое электроснабжение железной дороги</t>
  </si>
  <si>
    <t>СП 225.1326000.2014</t>
  </si>
  <si>
    <t>Станционные здания, сооружения и устройства</t>
  </si>
  <si>
    <t>СП 226.1326000.2014</t>
  </si>
  <si>
    <t>Электроснабжение нетяговых потребителей. Правила проектирования, строительства и реконструкции</t>
  </si>
  <si>
    <t>СП 227.1326000.2014</t>
  </si>
  <si>
    <t>Пересечения железнодорожных линий с линиями транспорта и инженерными сетями</t>
  </si>
  <si>
    <t>СП 228.1325800.2014</t>
  </si>
  <si>
    <t>Здания и сооружения следственных органов. Правила проектирования</t>
  </si>
  <si>
    <t>СП 229.1325800.2014 с Изм. 1</t>
  </si>
  <si>
    <t>Железобетонные конструкции подземных сооружений и коммуникаций. Защита от коррозии</t>
  </si>
  <si>
    <t>СП 230.1325800.2015</t>
  </si>
  <si>
    <t>Конструкции ограждающих зданий. Характеристики теплотехнических неоднородностей</t>
  </si>
  <si>
    <t>СП 231.1311500.2015</t>
  </si>
  <si>
    <t>Обустройство нефтяных и газовых месторождений Требования пожарной безопасности</t>
  </si>
  <si>
    <t>СП 232.1311500.2015</t>
  </si>
  <si>
    <t>Пожарная охрана предприятий. Общие требования</t>
  </si>
  <si>
    <t>СП 233.1326000.2015</t>
  </si>
  <si>
    <t>Инфраструктура железнодорожного транспорта. Высокоточная координатная система</t>
  </si>
  <si>
    <t>СП 234.1326000.2015</t>
  </si>
  <si>
    <t>Железнодорожная автоматика и телемеханика. Правила строительства и монтажа</t>
  </si>
  <si>
    <t>СП 235.1326000.2015</t>
  </si>
  <si>
    <t>Железнодорожная автоматика и телемеханика. Правила проектирования</t>
  </si>
  <si>
    <t>СП 236.1326000.2015</t>
  </si>
  <si>
    <t>Приемка и ввод в эксплуатацию объектов инфраструктуры железнодорожного транспорта</t>
  </si>
  <si>
    <t>СП 237.1326000.2015</t>
  </si>
  <si>
    <t>Инфраструктура железнодорожного транспорта. Общие требования</t>
  </si>
  <si>
    <t>СП 238.1326000.2015</t>
  </si>
  <si>
    <t>Железнодорожный путь</t>
  </si>
  <si>
    <t>СП 239.1326000.2015</t>
  </si>
  <si>
    <t>Системы информирования пассажиров, оповещения работающих на путях и парковой связи на железнодорожном транспорте</t>
  </si>
  <si>
    <t>СП 240.1311500.2015</t>
  </si>
  <si>
    <t>Хранилища сжиженного природного газа. Требования пожарной безопасности</t>
  </si>
  <si>
    <t>СП 241.1311500.2015</t>
  </si>
  <si>
    <t>Системы противопожарной защиты. Установки водяного пожаротушения высотных стеллажных складов автоматические. Нормы и правила проектирования</t>
  </si>
  <si>
    <t>СП 242.1325800.2015</t>
  </si>
  <si>
    <t>Здания территориальных органов пенсионного фонда Российской Федерации. Правила проектирования</t>
  </si>
  <si>
    <t>СП 243.1326000.2015</t>
  </si>
  <si>
    <t>Проектирование и строительство автомобильных дорог с низкой интенсивностью движения</t>
  </si>
  <si>
    <t>СП 244.1326000.2015</t>
  </si>
  <si>
    <t>Кабельные линии объектов инфраструктуры железнодорожного транспорта</t>
  </si>
  <si>
    <t>СП 245.1325800.2015</t>
  </si>
  <si>
    <t>Защита от коррозии линейных объектов и сооружений в нефтегазовом комплексе. Правила производства и приемки работ</t>
  </si>
  <si>
    <t>СП 246.1325800.2016</t>
  </si>
  <si>
    <t>Положение об авторском надзоре за строительством зданий и сооружений</t>
  </si>
  <si>
    <t>СП 247.1325800.2016</t>
  </si>
  <si>
    <t>Следственные изоляторы уголовноисполнительной системы. Правила проектирования</t>
  </si>
  <si>
    <t>СП 248.1325800.2016</t>
  </si>
  <si>
    <t>Сооружения подземные. Правила проектирования</t>
  </si>
  <si>
    <t>СП 249.1325800.2016</t>
  </si>
  <si>
    <t>Коммуникации подземные. Проектирование и строительство закрытым и открытым способами</t>
  </si>
  <si>
    <t>СП 250.1325800.2016</t>
  </si>
  <si>
    <t>Здания и сооружения. Защита от подземных вод</t>
  </si>
  <si>
    <t>СП 251.1325800.2016</t>
  </si>
  <si>
    <t>Здания общеобразовательных организаций правила проектирования</t>
  </si>
  <si>
    <t>СП 252.1325800.2016</t>
  </si>
  <si>
    <t>Здания дошкольных образовательных организаций. Правила проектирования</t>
  </si>
  <si>
    <t>СП 253.1325800.2016</t>
  </si>
  <si>
    <t>Инженерные системы высотных зданий</t>
  </si>
  <si>
    <t>СП 254.1325800.2016</t>
  </si>
  <si>
    <t>Здания и территория. Правила проектирования защиты от производственного шума</t>
  </si>
  <si>
    <t>СП 255.1325800.2016</t>
  </si>
  <si>
    <t>Здания и сооружения. Правила эксплуатации. Основные положения</t>
  </si>
  <si>
    <t>СП 256.1325800.2016</t>
  </si>
  <si>
    <t>Электроустановки жилых и общественных зданий. Правила проектирования и монтажа</t>
  </si>
  <si>
    <t>СП 257.1325800.2016</t>
  </si>
  <si>
    <t>Здания гостиниц. Правила проектирования</t>
  </si>
  <si>
    <t>СП 258.1311500.2016</t>
  </si>
  <si>
    <t>Объекты религиозного назначения. Требования пожарной безопасности</t>
  </si>
  <si>
    <t>СП 259.1325800.2016</t>
  </si>
  <si>
    <t>Мосты в условиях плотной городской застройки. Правила проектирования</t>
  </si>
  <si>
    <t>СП 260.1325800.2016</t>
  </si>
  <si>
    <t>Конструкции стальные тонкостенные из холодногнутых оцинкованных профилей и гофрированных листов. Правила проектирования</t>
  </si>
  <si>
    <t>СП 261.1325800.2016</t>
  </si>
  <si>
    <t>Железнодорожный путь промышленного транспорта. Правила проектирования и строительства</t>
  </si>
  <si>
    <t>СП 262.1325800.2016</t>
  </si>
  <si>
    <t>Контейнерные площадки и терминальные устройства на предприятиях промышленности и транспорта. Правила проектирования и строительства</t>
  </si>
  <si>
    <t>СП 263.1325800.2016</t>
  </si>
  <si>
    <t>Приспособление метрополитенов под защитные сооружения гражданской обороны. Общие правила проектирования</t>
  </si>
  <si>
    <t>СП 264.1325800.2016</t>
  </si>
  <si>
    <t>Световая маскировка населенных пунктов и объектов народного хозяйства</t>
  </si>
  <si>
    <t>СП 265.1325800.2016</t>
  </si>
  <si>
    <t>Коллекторы коммуникационные. Правила проектирования и строительства</t>
  </si>
  <si>
    <t>СП 266.1325800.2016</t>
  </si>
  <si>
    <t>Конструкции сталежелезобетонные. Правила проектирования</t>
  </si>
  <si>
    <t>СП 267.1325800.2016</t>
  </si>
  <si>
    <t>Здания и комплексы высотные. Правила проектирования</t>
  </si>
  <si>
    <t>СП 268.1325800.2016</t>
  </si>
  <si>
    <t>Транспортные сооружения в сейсмических районах. Правила проектирования</t>
  </si>
  <si>
    <t>СП 269.1325800.2016</t>
  </si>
  <si>
    <t>Транспортные сооружения в сейсмических районах. Правила уточнения исходной сейсмичности и сейсмического микрорайонирования</t>
  </si>
  <si>
    <t>СП 270.1325800.2016</t>
  </si>
  <si>
    <t>Транспортные сооружения в сейсмических районах. Правила оценки повреждений дорог при землетрясениях в отдаленных и труднодоступных районах</t>
  </si>
  <si>
    <t>СП 271.1325800.2016</t>
  </si>
  <si>
    <t>Системы шумоглушения воздушного отопления, вентиляции и кондиционирования воздуха. Правила проектирования</t>
  </si>
  <si>
    <t>СП 273.1325800.2016</t>
  </si>
  <si>
    <t>Водоснабжение и водоотведение. Правила проектирования и производства работ при восстановлении трубопроводов гибкими полимерными рукавами</t>
  </si>
  <si>
    <t>СП 274.1325800.2016</t>
  </si>
  <si>
    <t>Мосты. Мониторинг технического состояния</t>
  </si>
  <si>
    <t>СП 275.1325800.2016</t>
  </si>
  <si>
    <t>Конструкции, ограждающие жилых и общественных зданий. Правила проектирования звукоизоляции</t>
  </si>
  <si>
    <t>СП 276.1325800.2016</t>
  </si>
  <si>
    <t>Здания и территории. Правила проектирования защиты от шума транспортных потоков</t>
  </si>
  <si>
    <t>СП 277.1325800.2016</t>
  </si>
  <si>
    <t>Сооружения морские берегозащитные. Правила проектирования</t>
  </si>
  <si>
    <t>Исполнительная схема</t>
  </si>
  <si>
    <t>Земляные сооружения, основания и фундаменты</t>
  </si>
  <si>
    <t>Несущие и ограждающие конструкции</t>
  </si>
  <si>
    <t>испытания на растяжение механических соединений арматурного проката</t>
  </si>
  <si>
    <t>ИЛ ООО «МАТТЕСТ»</t>
  </si>
  <si>
    <t>579-1</t>
  </si>
  <si>
    <t>579-2</t>
  </si>
  <si>
    <t>579-3</t>
  </si>
  <si>
    <t>Исп.схемы</t>
  </si>
  <si>
    <t>Исп.схемы перенос</t>
  </si>
  <si>
    <t>Item</t>
  </si>
  <si>
    <t>Статус</t>
  </si>
  <si>
    <t>Объем</t>
  </si>
  <si>
    <t>id_уникальный</t>
  </si>
  <si>
    <t>Арматура А500С ГОСТ 34028-2016 - 10мм</t>
  </si>
  <si>
    <t>Арматура А500С ГОСТ 34028-2016 - 36мм</t>
  </si>
  <si>
    <t>Проволока 1,2-ОЧ-Моток ГОСТ 3282-74</t>
  </si>
  <si>
    <t>Сертификат качества</t>
  </si>
  <si>
    <t>АРТЕК/СГМ19-047/КСБ/1-К-П-ПОС</t>
  </si>
  <si>
    <t>лист 23-26.</t>
  </si>
  <si>
    <t>Армирование</t>
  </si>
  <si>
    <t>2934</t>
  </si>
  <si>
    <t>2933</t>
  </si>
  <si>
    <t>Р517614</t>
  </si>
  <si>
    <t>0049000</t>
  </si>
  <si>
    <t>20.07.2023</t>
  </si>
  <si>
    <t>02.02.2023</t>
  </si>
  <si>
    <t>19.01.2022</t>
  </si>
  <si>
    <t>ООО «НРМ»</t>
  </si>
  <si>
    <t>АО «НЛМК «Урал»</t>
  </si>
  <si>
    <t>ОАО «БМЗ-БМК»</t>
  </si>
  <si>
    <t>ООО «Югкурортинвест»</t>
  </si>
  <si>
    <t>ООО «АЭМЗ»</t>
  </si>
  <si>
    <t>Филиал №3 «ММЗ» ООО «ЮГМКД»</t>
  </si>
  <si>
    <t>ООО «СМУ-05»</t>
  </si>
  <si>
    <t>ООО «Автобетон»</t>
  </si>
  <si>
    <t>ООО «Кубань-Снаб»</t>
  </si>
  <si>
    <t>ООО «АЭМС»</t>
  </si>
  <si>
    <t>АО «МЗ Балаково»</t>
  </si>
  <si>
    <t>ООО «Новоросметалл»</t>
  </si>
  <si>
    <t>ООО «Эмитекс»</t>
  </si>
  <si>
    <t>ООО «Южный горно-металлургический комплекс Донецк»</t>
  </si>
  <si>
    <t>«Серконс управление проектами»</t>
  </si>
  <si>
    <t>«Технониколь»</t>
  </si>
  <si>
    <t>ИП «Винокуров А.А.»</t>
  </si>
  <si>
    <t>ООО "ТехноНИКОЛЬ-Строительные системы"</t>
  </si>
  <si>
    <t>Арматура А500С ГОСТ 34028-2016 - 12мм — Сертификат качества</t>
  </si>
  <si>
    <t>Арматура А500С ГОСТ 34028-2016 - 16мм — Сертификат качества</t>
  </si>
  <si>
    <t>Арматура А500С ГОСТ 34028-2016 - 20мм — Сертификат качества</t>
  </si>
  <si>
    <t>Арматура А500С ГОСТ 34028-2016 - 25мм — Сертификат качества</t>
  </si>
  <si>
    <t>Арматура А240С ГОСТ 34028-2016 - 8мм — Сертификат качества</t>
  </si>
  <si>
    <t>Протокол. Неразрущающий контроль. (7 суток)</t>
  </si>
  <si>
    <t>Протокол. Неразрушающий контроль (7 суток)</t>
  </si>
  <si>
    <t>Катанка УО2 ГОСТ 2590-2006 ГОСТ 380-2005 ГОСТ 30136-95 -10мм — Сертификат качества</t>
  </si>
  <si>
    <t>06.03.2022</t>
  </si>
  <si>
    <t>ООО «Завод «ЮГТРУБПЛАСТ»</t>
  </si>
  <si>
    <t>ООО «Крым-Инвестстрой»</t>
  </si>
  <si>
    <t>Кол-во листов в приложении</t>
  </si>
  <si>
    <t>Сертификат качества №2933</t>
  </si>
  <si>
    <t>Акт освидетельствования скрытых работ. Планировка грунта захватка №1, 2 абс.отм. +29.150; +30.750 в осях 16-20</t>
  </si>
  <si>
    <t>Исполнительная схема Планировка грунта захватка №1, 2 абс.отм. +29.150; +30.750 в осях 16-20</t>
  </si>
  <si>
    <t>Протокол. Определение коэффициента уплотнения грунта динамическим плотномером</t>
  </si>
  <si>
    <t>Акт освидетельствования скрытых работ. Устройство свайного поля в осях 14'-20</t>
  </si>
  <si>
    <t>Исполнительная схема Устройство свайного поля в осях 14'-20</t>
  </si>
  <si>
    <t>Акт освидетельствования скрытых работ. Разработка грунта захватка №1, 2 с абс.отм. +29.150 до +32.240 в осях 14'-20</t>
  </si>
  <si>
    <t>Исполнительная схема Разработка грунта захватка №1, 2 с абс.отм. +29.150 до +32.240 в осях 14'-20</t>
  </si>
  <si>
    <t>Акт освидетельствования ответственных конструкций. Свайное поле захватка №1, 2</t>
  </si>
  <si>
    <t>Исполнительная схема Свайное поле захватка №1, 2</t>
  </si>
  <si>
    <t>Акт освидетельствования скрытых работ. Устройство бетонной подготовки захватка №1, 2 с абс.отм. +29.150 до +30.740 в осях 14'-20</t>
  </si>
  <si>
    <t>Бетон - БСТ B7,5F50W2 — Документ о качестве</t>
  </si>
  <si>
    <t>Исполнительная схема Устройство бетонной подготовки захватка №1, 2 с абс.отм. +29.150 до +30.740 в осях 14'-20</t>
  </si>
  <si>
    <t>Акт освидетельствования скрытых работ. Армирование плит стен с опалубкой РМ-2 с абс.отм. +29.250 до +30.750 в осях 16-20</t>
  </si>
  <si>
    <t>Исполнительная схема Армирование плит стен с опалубкой РМ-2 с абс.отм. +29.250 до +30.750 в осях 16-20</t>
  </si>
  <si>
    <t>Протокол. Испытания на растяжение механических соединений арматурного проката</t>
  </si>
  <si>
    <t>Акт освидетельствования скрытых работ. Бетонирование плит стен РМ-2 с абс.отм. +29.250 до +30.750 в осях 16-20</t>
  </si>
  <si>
    <t>Бетон - БСТ B40F150W6 — Документ о качестве</t>
  </si>
  <si>
    <t>Исполнительная схема Бетонирование плит стен РМ-2 с абс.отм. +29.250 до +30.750 в осях 16-20</t>
  </si>
  <si>
    <t>Акт освидетельствования скрытых работ. Армирование подпорной стены с опалубкой ПС-26 с абс.отм. +30.750 до +33.680 в осях 16-20</t>
  </si>
  <si>
    <t>Исполнительная схема Армирование подпорной стены с опалубкой ПС-26 с абс.отм. +30.750 до +33.680 в осях 16-20</t>
  </si>
  <si>
    <t>Проволка стальная низкоуглеродистая общего назначения ГОСТ 3282-74 Проволка 1,2-ОЧ-Моток- 1,2 мм — Сертификат качества</t>
  </si>
  <si>
    <t>Акт освидетельствования скрытых работ. Бетонирование подпорной стены ПС-26 с абс.отм. +30.750 до +33.680 в осях 16-20</t>
  </si>
  <si>
    <t>Исполнительная схема Бетонирование подпорной стены ПС-26 с абс.отм. +30.750 до +33.680 в осях 16-20</t>
  </si>
  <si>
    <t>Бетон- БСТ В40F150W6 — Документ о качестве</t>
  </si>
  <si>
    <t>Акт освидетельствования скрытых работ. Армирование плит стен с опалубкой РМ-1 с абс.отм. +30.740 до +32.240 в осях 14'-16</t>
  </si>
  <si>
    <t>Реестр документов, подтверждающих качество и безопасность материалов</t>
  </si>
  <si>
    <t>Исполнительная схема Армирование плит стен с опалубкой РМ-1 с абс.отм. +30.740 до +32.240 в осях 14'-16</t>
  </si>
  <si>
    <t>Муфта обжимная ГОСТ 34227-2017 - 36мм — Документ о качестве</t>
  </si>
  <si>
    <t>Акт освидетельствования скрытых работ. Бетонирование плит стен РМ-1 с абс.отм. +30.740 до +32.240 в осях 14'-16</t>
  </si>
  <si>
    <t>Исполнительная схема Бетонирование плит стен РМ-1 с абс.отм. +30.740 до +32.240 в осях 14'-16</t>
  </si>
  <si>
    <t>Акт освидетельствования скрытых работ. Армирование подпорной стены с опалубкой ПС-26 с абс.отм. +32.240 до 35.630 в осях 14'-16</t>
  </si>
  <si>
    <t>Исполнительная схема Армирование подпорной стены с опалубкой ПС-26 с абс.отм. +32.240 до 35.630 в осях 14'-16</t>
  </si>
  <si>
    <t>Акт освидетельствования скрытых работ. Бетонирование подпорной стены ПС-26 с абс.отм. +32.240 до +35.630 в осях 14'-16</t>
  </si>
  <si>
    <t>Исполнительная схема Бетонирование подпорной стены ПС-26 с абс.отм. +32.240 до +35.630 в осях 14'-16</t>
  </si>
  <si>
    <t>Акт освидетельствования скрытых работ. Ростверки РМ-1, РМ-2, ПС-26 с абс.отм. +29.150 до +32.240 в осях 14'-20</t>
  </si>
  <si>
    <t>Исполнительная схема Ростверки РМ-1, РМ-2, ПС-26 с абс.отм. +29.150 до +32.240 в осях 14'-20</t>
  </si>
  <si>
    <t>Акт освидетельствования скрытых работ. Устройство галтели РМ-1, РМ-2 с абс.отм. +29.250 до +29.300 и с абс.отм. +30.740 до +30.790 в осях 14'-20</t>
  </si>
  <si>
    <t>Исполнительная схема Устройство галтели РМ-1, РМ-2 с абс.отм. +29.250 до +29.300 и с абс.отм. +30.740 до +30.790 в осях 14'-20</t>
  </si>
  <si>
    <t>Смеси сухие строительные на минеральных вяжущих : универсальная сухая строительная смесь ТМ ТIМТЕК ЦПС-М300 — декларация о соответствии</t>
  </si>
  <si>
    <t>Акт освидетельствования скрытых работ. Устройство обмазочной гидроизоляции захватка №1, 2 с абс.отм. +29.250 до +30.750 и с абс.отм. +30.740 до +32.240 в осях 14'-20</t>
  </si>
  <si>
    <t>Исполнительная схема Устройство обмазочной гидроизоляции захватка №1, 2 с абс.отм. +29.250 до +30.750 и с абс.отм. +30.740 до +32.240 в осях 14'-20</t>
  </si>
  <si>
    <t>Мастика гидроизоляционная ТЕХНОНИКОЛЬ №24 — Сертификат соотвествия</t>
  </si>
  <si>
    <t>Акт освидетельствования скрытых работ. Устройство мембранной гидроизоляции захватка №1, 2 с абс.отм. +29.250 до +30.750 и с абс.отм. +30.740 до +32.240 в осях 14'-20</t>
  </si>
  <si>
    <t>Исполнительная схема Устройство мембранной гидроизоляции захватка №1, 2 с абс.отм. +29.250 до +30.750 и с абс.отм. +30.740 до +32.240 в осях 14'-20</t>
  </si>
  <si>
    <t>Материалы рулонные защитные и дренажные полимерные профилированные PLANTER — Декларация о соответствии</t>
  </si>
  <si>
    <t>Материалы рулонные защитные и дренажные полимерные профилированные PLANTER — Сертификат соответствия</t>
  </si>
  <si>
    <t>PLANTER geo мембрана профилированная 2х15 м — Паспорт качества</t>
  </si>
  <si>
    <t>Акт освидетельствования скрытых работ. Устройство дренажа (водоотводов и щеб. Призмы) захватка №1, 2 в осях 14'-20</t>
  </si>
  <si>
    <t>Исполнительная схема Устройство дренажа (водоотводов и щеб. Призмы) захватка №1, 2 в осях 14'-20</t>
  </si>
  <si>
    <t>Труба КОРСИС DN/OD 110 SN8 PR-2 — Паспорт качества</t>
  </si>
  <si>
    <t>Щебень из плотных изверженных горных пород фракции 40-70мм — Паспорт</t>
  </si>
  <si>
    <t>Акт освидетельствования скрытых работ. Устройство геотекстиля захватка №1, 2 в осях 14'-20</t>
  </si>
  <si>
    <t>Исполнительная схема Устройство геотекстиля захватка №1, 2 в осях 14'-20</t>
  </si>
  <si>
    <t>Геотекстиль нетканный ДОРНИТ 200 — Паспорт качества</t>
  </si>
  <si>
    <t>Акт освидетельствования скрытых работ. Обратная засыпка с уплотнением захватка №1, 2 в осях 14'-20</t>
  </si>
  <si>
    <t>Исполнительная схема Обратная засыпка с уплотнением захватка №1, 2 в осях 14'-20</t>
  </si>
  <si>
    <t>Акт освидетельствования скрытых работ. Устройство подстилающего слоя</t>
  </si>
  <si>
    <t>Исполнительная схема Устройство подстилающего слоя</t>
  </si>
  <si>
    <t>от 30.12.1899</t>
  </si>
  <si>
    <t>Арматура А240С ГОСТ 34028-2016 - 12мм — Сертификат качества</t>
  </si>
  <si>
    <t>№КЖ4-5/1-3 от 12.10.2024</t>
  </si>
  <si>
    <t>Реестр документов, подтверждающих соответствие работ предъявляемым к ним требованиям</t>
  </si>
  <si>
    <t>№КЖ4-5/Г-1 от 13.08.2024</t>
  </si>
  <si>
    <t>Протокол. испытания на растяжение механических соединений арматурного проката</t>
  </si>
  <si>
    <t>Протокол. Неразрушающий контроль (28 суток)</t>
  </si>
  <si>
    <t>№1421-6 от 13.08.2024</t>
  </si>
  <si>
    <t>№579-4 от 22.04.2024</t>
  </si>
  <si>
    <t>№579-9 от 08.05.2024</t>
  </si>
  <si>
    <t>№579 от 09.04.2024</t>
  </si>
  <si>
    <t>№623-6 от 17.05.2024</t>
  </si>
  <si>
    <t>№623-9 от 21.05.2024</t>
  </si>
  <si>
    <t>№2909-2023-Р-КЖ4 от 20.08.2024</t>
  </si>
  <si>
    <t>№КЖ4-5/Г-2 от 30.08.2024</t>
  </si>
  <si>
    <t>№1421-19 от 30.08.2024</t>
  </si>
  <si>
    <t>№2909-2023-Р-КЖ4 от 17.09.2024</t>
  </si>
  <si>
    <t>№КЖ4-5/0-1 от 06.09.2024</t>
  </si>
  <si>
    <t>№1613-1 от 13.09.2024</t>
  </si>
  <si>
    <t>№КЖ4-5/1-1 от 18.09.2024</t>
  </si>
  <si>
    <t>№955-25 от 12.09.2024</t>
  </si>
  <si>
    <t>№КЖ4-5/2-1 от 18.09.2024</t>
  </si>
  <si>
    <t>№1600-4 от 25.09.2024</t>
  </si>
  <si>
    <t>№КЖ4-5/1-2 от 05.10.2024</t>
  </si>
  <si>
    <t>№КЖ4-5/2-2 от 05.10.2024</t>
  </si>
  <si>
    <t>№1600-5 от 12.10.2024</t>
  </si>
  <si>
    <t>№КЖ4-5/2-3 от 12.10.2024</t>
  </si>
  <si>
    <t>№1600-7 от 19.10.2024</t>
  </si>
  <si>
    <t>№КЖ4-5/1-4 от 25.10.2024</t>
  </si>
  <si>
    <t>№КЖ4-5/2-4 от 25.10.2024</t>
  </si>
  <si>
    <t>№1600П от 25.09.2024</t>
  </si>
  <si>
    <t>№КЖ4-5/АООК-2 от 25.10.2024</t>
  </si>
  <si>
    <t>№КЖ4-5/3-1 от 01.11.2024</t>
  </si>
  <si>
    <t>№КЖ4-5/4-1 от 03.11.2024</t>
  </si>
  <si>
    <t>№КЖ4-5/5-1 от 04.11.2024</t>
  </si>
  <si>
    <t>№КЖ4-5/6-1 от 04.11.2024</t>
  </si>
  <si>
    <t>№КЖ4-5/7-1 от 04.11.2024</t>
  </si>
  <si>
    <t>№КЖ4-5/Г-3 от 04.11.2024</t>
  </si>
  <si>
    <t>№КЖ4-5/0-1 от 13.09.2024</t>
  </si>
  <si>
    <t>№КЖ4-5/2-1 от 25.09.2024</t>
  </si>
  <si>
    <t>№КЖ4-5/2-2 от 12.10.2024</t>
  </si>
  <si>
    <t>№КЖ4-5/2-3 от 19.10.2024</t>
  </si>
  <si>
    <t>№КЖ4-5/2-4 от 01.11.2024</t>
  </si>
  <si>
    <t>№КЖ4-5/АООК-2 от 22.11.2024</t>
  </si>
  <si>
    <t>№ от 30.12.1899</t>
  </si>
  <si>
    <t>№168 от 15.01.2025</t>
  </si>
  <si>
    <t>№2101-595 от 06.09.2024</t>
  </si>
  <si>
    <t>№6333 от 27.10.2023</t>
  </si>
  <si>
    <t>№5243 от 24.05.2024</t>
  </si>
  <si>
    <t>№0053137 поз.2 от 05.08.2023</t>
  </si>
  <si>
    <t>№6335 от 27.10.2023</t>
  </si>
  <si>
    <t>№18.09/1 от 18.09.2024</t>
  </si>
  <si>
    <t>№18.09/2 от 18.09.2024</t>
  </si>
  <si>
    <t>№18.09/5 от 18.09.2024</t>
  </si>
  <si>
    <t>№18.09/4 от 18.09.2024</t>
  </si>
  <si>
    <t>№18.09/3 от 18.09.2024</t>
  </si>
  <si>
    <t>№24007437 от 30.04.2024</t>
  </si>
  <si>
    <t>№0117493 от 15.05.2024</t>
  </si>
  <si>
    <t>№0044383 от 01.07.2023</t>
  </si>
  <si>
    <t>№05.10/01 от 05.10.2024</t>
  </si>
  <si>
    <t>№05.10/02 от 05.10.2024</t>
  </si>
  <si>
    <t>№10478 от 12.09.2024</t>
  </si>
  <si>
    <t>№38879 от 12.10.2024</t>
  </si>
  <si>
    <t>№38880 от 12.10.2024</t>
  </si>
  <si>
    <t>№38882 от 12.10.2024</t>
  </si>
  <si>
    <t>№38888 от 12.10.2024</t>
  </si>
  <si>
    <t>№38892 от 12.10.2024</t>
  </si>
  <si>
    <t>№39467 от 25.10.2024</t>
  </si>
  <si>
    <t>№39472 от 25.10.2024</t>
  </si>
  <si>
    <t>№РОСС RU Д-RU.РА01.В.10383/24 от 21.08.2023</t>
  </si>
  <si>
    <t>№04УПС1.RU.С02817 от 09.12.2022</t>
  </si>
  <si>
    <t>№RU Д-RU.РА01.В.02136/22 от 02.12.2022</t>
  </si>
  <si>
    <t>№04УПС1.RU.С02826 от 23.12.2022</t>
  </si>
  <si>
    <t>№1814 от 23.04.2024</t>
  </si>
  <si>
    <t>№3552 от 02.08.2024</t>
  </si>
  <si>
    <t>№19 от 01.03.2025</t>
  </si>
  <si>
    <t>№б/н</t>
  </si>
  <si>
    <t>КЖ2.1.1-5/1-1</t>
  </si>
  <si>
    <t>Армирование вертикальных конструкций с опалубкой</t>
  </si>
  <si>
    <t>на отм. -0.100, +4.750</t>
  </si>
  <si>
    <t>в осях 33-34/А'-Б</t>
  </si>
  <si>
    <t>Бетонирование вертикальных конструкций</t>
  </si>
  <si>
    <t>КЖ2.1.1-5/2-1</t>
  </si>
  <si>
    <t>Армирование горизонтальных конструкций с опалубкой</t>
  </si>
  <si>
    <t>КЖ2.1.1-5/1-2</t>
  </si>
  <si>
    <t>на отм. -0.100</t>
  </si>
  <si>
    <t>в осях Г1-Г4/Д1-Д2</t>
  </si>
  <si>
    <t>Прокат арматурный А500С ГОСТ 34028-2016 - 16мм</t>
  </si>
  <si>
    <t>Генеральный план</t>
  </si>
  <si>
    <t>ГП1-5</t>
  </si>
  <si>
    <t>Разбивочный план</t>
  </si>
  <si>
    <t>ГП2-5</t>
  </si>
  <si>
    <t>Армирование вертикальных конструкций с опалубкой Км-2.6</t>
  </si>
  <si>
    <t>Бетонирование вертикальных конструкций Км-2.6</t>
  </si>
  <si>
    <t>Армирование вертикальных конструкций с опалубкой Км-2.5</t>
  </si>
  <si>
    <t>Перечислять материалы в п.4 АООК</t>
  </si>
  <si>
    <t>Жилой дом с инженерными сетями и благоустройством территории</t>
  </si>
  <si>
    <t>по адресу: г. Москва, ул. Мира, 1</t>
  </si>
  <si>
    <t>ООО "Заказчик"</t>
  </si>
  <si>
    <t>ОГРН 1177700018319, ИНН 7703434808, адрес: 103070, г. Москва, ул. Ильинка, д.13, тел. 8(495) 651-07-97</t>
  </si>
  <si>
    <t>ООО "Генподряд"</t>
  </si>
  <si>
    <t>ОГРН 1027739053451, ИНН 7709261816, СРО №0007.10-2009-7709261816-С-042 от 18.12.2015 г., выдано Ассоциация содействия развития строительного комплекса и предпринимательства в сфере строительства "Столица" адрес: 109147, г. Москва, ул. Воронцовская, д.21 А, стр. 1, тел. 8(495) 544-50-90</t>
  </si>
  <si>
    <t>ООО "Проектировщик"</t>
  </si>
  <si>
    <t>ОГРН 1067759045397, ИНН 7718610541, СРО-П-209-14032019 от 17.07.2020 г., выдано Ассоциация "Объединение профессиональных проектировщиков "РСП",  адрес: 109428, г. Москва, Рязанский проспект, д. 24, к. 1, эт. 9, пом. 3, тел, 8(495)543-43-41</t>
  </si>
  <si>
    <t>Елкин Алексей Александрович</t>
  </si>
  <si>
    <t>Старший инженер</t>
  </si>
  <si>
    <t>Московский фонд реновации жилой застройки</t>
  </si>
  <si>
    <t>приказ № 123 от 15.09.21</t>
  </si>
  <si>
    <t>идентификационный номер в национальном реестре специалистов в области строительства 928347987 от 03.09.21</t>
  </si>
  <si>
    <t>Московский фонд реновации жилой застройки, ОГРН 1177700018319, ИНН 7703434808, адрес: 103070, г. Москва, ул. Ильинка, д.13, тел. 8(495) 651-07-97</t>
  </si>
  <si>
    <t>Палкин Николай Петрович</t>
  </si>
  <si>
    <t>Главный инженер ГП</t>
  </si>
  <si>
    <t>ООО "Генподрядчик"</t>
  </si>
  <si>
    <t>приказ № 123 от 15.09.22</t>
  </si>
  <si>
    <t>Иванов С. О.</t>
  </si>
  <si>
    <t>Технадзор ГП</t>
  </si>
  <si>
    <t>приказ № 123 от 15.09.23</t>
  </si>
  <si>
    <t>Петров К.К.</t>
  </si>
  <si>
    <t>Прораб</t>
  </si>
  <si>
    <t>ООО "Подрядчик"</t>
  </si>
  <si>
    <t>приказ № 123 от 15.09.24</t>
  </si>
  <si>
    <t>идентификационный номер в национальном реестре специалистов в области строительства 928347987 от 03.09.24</t>
  </si>
  <si>
    <t>Кукин С.Т.</t>
  </si>
  <si>
    <t>ГИП</t>
  </si>
  <si>
    <t>ООО "Авторский"</t>
  </si>
  <si>
    <t>приказ № 123 от 15.09.25</t>
  </si>
  <si>
    <t>идентификационный номер в национальном реестре специалистов в области проектирования 928347987 от 03.09.25</t>
  </si>
  <si>
    <t>Иной А.А.</t>
  </si>
  <si>
    <t>ООО "Эксплуатация"</t>
  </si>
  <si>
    <t>[1]_Елкин Алексей Александрович</t>
  </si>
  <si>
    <t>[2]_Палкин Николай Петрович</t>
  </si>
  <si>
    <t>[3]_Иванов С. О.</t>
  </si>
  <si>
    <t>[4]_Петров К.К.</t>
  </si>
  <si>
    <t>[5]_Кукин С.Т.</t>
  </si>
  <si>
    <t>[6]_Иной А.А.</t>
  </si>
  <si>
    <t>[2] Бетонирование вертикальных конструкций Км-2.6 25.03.2024</t>
  </si>
  <si>
    <t>Исполнительная схема №КЖ2.1.1-5/2-1</t>
  </si>
  <si>
    <t>Простое окно выбора материалов</t>
  </si>
  <si>
    <t>Сертификат качества №Р517614</t>
  </si>
  <si>
    <t>Сертификат качества №0049000</t>
  </si>
  <si>
    <t>ПАСПОРТ</t>
  </si>
  <si>
    <t>111111</t>
  </si>
  <si>
    <t>Реестр рабочей / проектной документации</t>
  </si>
  <si>
    <t>РД шифр ППЗ-4-1210-Д00200.2.25-410-ГП21</t>
  </si>
  <si>
    <t>Шифр и название раздела</t>
  </si>
  <si>
    <t xml:space="preserve"> АО "СоюзпромНИИпроект", ГИП Савченко А.М.</t>
  </si>
  <si>
    <t>РД шифр 1210-Д00200.2/25-410-КЖ21.0</t>
  </si>
  <si>
    <t>разбивочный чертёж</t>
  </si>
  <si>
    <t>АО "Казанский Гипронииавиапром" им. Б.И. Тихомирова", ГИП Савченко А.М.</t>
  </si>
  <si>
    <t>4, 5</t>
  </si>
  <si>
    <t>[1]_РД шифр ППЗ-4-1210-Д00200.2.25-410-ГП21 л.4, 5;_x000D_
[2]_РД шифр 1210-Д00200.2/25-410-КЖ21.0 л.6;_x000D_
[4]_РД шифр ППЗ-4-1210-Д00200.2.25-410-ГП21 л.7;_x000D_
[3]_разбивочный чертёж л.</t>
  </si>
  <si>
    <t>Номера листов</t>
  </si>
  <si>
    <t>Организация, ГИП</t>
  </si>
  <si>
    <t>РД шифр ППЗ-4-1210-Д00200.2.25-410-ГП21, л.4, 5, 7,  АО "СоюзпромНИИпроект", ГИП Савченко А.М.; РД шифр 1210-Д00200.2/25-410-КЖ21.0, л.6, АО "Казанский Гипронииавиапром" им. Б.И. Тихомирова", ГИП Савченко А.М.; разбивочный чертёж</t>
  </si>
  <si>
    <t>п2</t>
  </si>
  <si>
    <t>п6</t>
  </si>
  <si>
    <t>РД шифр ППЗ-4-1210-Д00200.2.25-410-ГП21, л.4, 5, 7; РД шифр 1210-Д00200.2/25-410-КЖ21.0, л.6; разбивочный чертёж</t>
  </si>
  <si>
    <t>[2]_РД шифр 1210-Д00200.2/25-410-КЖ21.0 л.6</t>
  </si>
  <si>
    <t>РД шифр 1210-Д00200.2/25-410-КЖ21.0, л.6, АО "Казанский Гипронииавиапром" им. Б.И. Тихомирова", ГИП Савченко А.М.</t>
  </si>
  <si>
    <t>РД шифр 1210-Д00200.2/25-410-КЖ21.0, л.6</t>
  </si>
  <si>
    <t>[3]_разбивочный чертёж л.;_x000D_
[4]_РД шифр ППЗ-4-1210-Д00200.2.25-410-ГП21 л.7</t>
  </si>
  <si>
    <t>РД шифр ППЗ-4-1210-Д00200.2.25-410-ГП21, л.7,  АО "СоюзпромНИИпроект", ГИП Савченко А.М.; разбивочный чертёж</t>
  </si>
  <si>
    <t>РД шифр ППЗ-4-1210-Д00200.2.25-410-ГП21, л.7; разбивочный чертёж</t>
  </si>
  <si>
    <t>БЕТОН1111</t>
  </si>
  <si>
    <t>САНФАЯНС</t>
  </si>
  <si>
    <t>Акт о результатах проверки изделий</t>
  </si>
  <si>
    <t>Мат_серт_перенос</t>
  </si>
  <si>
    <t>Сертификат качества 2934 19.01.2022; ПАСПОРТ 111111 15.02.2025</t>
  </si>
  <si>
    <t xml:space="preserve"> от 15.02.2025</t>
  </si>
  <si>
    <t>Акт о результатах проверки изделий 2 06.03.2022; Сертификат качества 2933 06.03.2022</t>
  </si>
  <si>
    <t xml:space="preserve"> от 06.03.2022</t>
  </si>
  <si>
    <t>Акт о результатах проверки изделий 3 02.02.2023; Сертификат качества Р517614 02.02.2023</t>
  </si>
  <si>
    <t xml:space="preserve"> от 02.02.2023</t>
  </si>
  <si>
    <t>Акт о результатах проверки изделий 4 20.07.2023; Сертификат качества 0049000 20.07.2023</t>
  </si>
  <si>
    <t xml:space="preserve"> от 20.07.2023</t>
  </si>
  <si>
    <t>Акт о результатах проверки изделий 5; Сертификат качества уацуацуа</t>
  </si>
  <si>
    <t>Акт о результатах проверки изделий 6; ПАСПОРТ 98н2а92839а8р</t>
  </si>
  <si>
    <t>ИндексДляАВК</t>
  </si>
  <si>
    <t>ИндексДляРеестра</t>
  </si>
  <si>
    <t>Соответствует</t>
  </si>
  <si>
    <t>Не требуется</t>
  </si>
  <si>
    <t>Бетон</t>
  </si>
  <si>
    <t>Бетон B25</t>
  </si>
  <si>
    <t>Паспорт</t>
  </si>
  <si>
    <t>ПБ-0101</t>
  </si>
  <si>
    <t>[1] Протокол 579 испытания на растяжение механических соединений арматурного проката 09.04.2024</t>
  </si>
  <si>
    <t>Сертификат качества 2933 06.03.2022</t>
  </si>
  <si>
    <t>Сертификат качества Р517614 02.02.2023</t>
  </si>
  <si>
    <t>Сертификат качества 0049000 20.07.2023</t>
  </si>
  <si>
    <t>Паспорт ПБ-0101 20.07.2023</t>
  </si>
  <si>
    <t>Паспорт №ПБ-0101</t>
  </si>
  <si>
    <t>Протокол №579</t>
  </si>
  <si>
    <t>100</t>
  </si>
  <si>
    <t>ЭтоАВК</t>
  </si>
  <si>
    <t>[5]_Бетон B25; ь123123</t>
  </si>
  <si>
    <t>да, без сертификатов</t>
  </si>
  <si>
    <t>Если выбрано "да", то будет указана так же ссылка на прилагаемый реестр</t>
  </si>
  <si>
    <t>ПБ-0102</t>
  </si>
  <si>
    <t>ПБ-0103</t>
  </si>
  <si>
    <t>ПБ-0104</t>
  </si>
  <si>
    <t>ПБ-0105</t>
  </si>
  <si>
    <t>ПБ-0106</t>
  </si>
  <si>
    <t>ПБ-0107</t>
  </si>
  <si>
    <t>ПБ-0108</t>
  </si>
  <si>
    <t>12</t>
  </si>
  <si>
    <t>Арматура А500С ГОСТ 34028-2016 - 10мм; Арматура А500С ГОСТ 34028-2016 - 36мм; Проволока 1,2-ОЧ-Моток ГОСТ 3282-74; Бетон B25</t>
  </si>
  <si>
    <t>1, 2, 3</t>
  </si>
  <si>
    <t>РД шифр ППЗ-4-1210-Д00200.2.25-410-ГП21, л.4, 5, 7,  АО "СоюзпромНИИпроект", ГИП Савченко А.М.; РД шифр 1210-Д00200.2/25-410-КЖ21.0, л.6, АО "Казанский Гипронииавиапром" им. Б.И. Тихомирова", ГИП Савченко А.М.; РД шифр ППЗ-4-1210-Д00200.2.25-410-ГП21, л.7,  АО "СоюзпромНИИпроект", ГИП Савченко А.М.; разбивочный чертёж</t>
  </si>
  <si>
    <t>Материалы_без_серт</t>
  </si>
  <si>
    <t>Указывать названия материалов в п.3 (4 АООК) вместе с реестром</t>
  </si>
  <si>
    <t>Версия 5.25.12.16</t>
  </si>
  <si>
    <t>[2]_Арматура А500С ГОСТ 34028-2016 - 10мм;_x000D_
[3]_Арматура А500С ГОСТ 34028-2016 - 36мм;</t>
  </si>
  <si>
    <t>[4]_Проволока 1,2-ОЧ-Моток ГОСТ 3282-74;</t>
  </si>
  <si>
    <t>[1] Армирование вертикальных конструкций с опалубкой Км-2.6 25.03.2024</t>
  </si>
  <si>
    <t>Лицензия истекла 02.01.2025</t>
  </si>
  <si>
    <t>73F4-8B23-D286-D2AD</t>
  </si>
  <si>
    <t>Арматура А500С ГОСТ 34028-2016 - 10мм — Сертификат качества № 2933 от 31.12.2099; Арматура А500С ГОСТ 34028-2016 - 36мм — Сертификат качества № Р517614 от 31.12.2099</t>
  </si>
  <si>
    <t>Арматура А500С ГОСТ 34028-2016 - 10мм; Арматура А500С ГОСТ 34028-2016 - 36мм</t>
  </si>
  <si>
    <t>Сертификат качества № 2933 от 31.12.2099 на 3л.; Сертификат качества № Р517614 от 31.12.2099 на 1л.</t>
  </si>
  <si>
    <t>Сертификат качества № 2933 от 31.12.2099;_x000D_
Сертификат качества № Р517614 от 31.12.2099</t>
  </si>
  <si>
    <t>Исполнительная схема №КЖ2.1.1-5/1-1 от 31.12.2099 - Армирование вертикальных конструкций с опалубкой Км-2.6 на 4л.</t>
  </si>
  <si>
    <t>Протокол №579 от 31.12.2099 - испытания на растяжение механических соединений арматурного проката на 1л.</t>
  </si>
  <si>
    <t>Бетон B25 — Паспорт № ПБ-0101 от 31.12.2099</t>
  </si>
  <si>
    <t>Паспорт № ПБ-0101 от 31.12.2099 на 1л.</t>
  </si>
  <si>
    <t>Паспорт № ПБ-0101 от 31.12.2099</t>
  </si>
  <si>
    <t>Исполнительная схема №КЖ2.1.1-5/2-1 от 31.12.2099 - Бетонирование вертикальных конструкций Км-2.6 на 2л.</t>
  </si>
  <si>
    <t>Проволока 1,2-ОЧ-Моток ГОСТ 3282-74 — Сертификат качества № 0049000 от 31.12.2099</t>
  </si>
  <si>
    <t>Сертификат качества № 0049000 от 31.12.2099 на 1л.</t>
  </si>
  <si>
    <t>Сертификат качества № 0049000 от 31.12.2099</t>
  </si>
  <si>
    <t>31.12.2099</t>
  </si>
  <si>
    <t>Исполнительная схема №КЖ2.1.1-5/1-1</t>
  </si>
  <si>
    <t>Арматура А500С ГОСТ 34028-2016 - 10мм — Сертификат качества № 2933 от 31.12.2099; Арматура А500С ГОСТ 34028-2016 - 36мм — Сертификат качества № Р517614 от 31.12.2099; Проволока 1,2-ОЧ-Моток ГОСТ 3282-74 — Сертификат качества № 0049000 от 31.12.2099; Бетон B25 — Паспорт № ПБ-0101 от 31.12.2099</t>
  </si>
  <si>
    <t>Протокол №579 от 31.12.2099 - испытания на растяжение механических соединений арматурного проката</t>
  </si>
  <si>
    <t>Исполнительная схема №КЖ2.1.1-5/1-1 от 31.12.2099 - Армирование вертикальных конструкций с опалубкой Км-2.6; Исполнительная схема №КЖ2.1.1-5/2-1 от 31.12.2099 - Бетонирование вертикальных конструкций Км-2.6</t>
  </si>
  <si>
    <t>АОСР 1 от 31.12.2099 - Армирование вертикальных конструкций с опалубкой на отм. -0.100, +4.750 в осях 33-34/А'-Б; АОСР 2 от 31.12.2099 - Бетонирование вертикальных конструкций на отм. -0.100, +4.750 в осях 33-34/А'-Б; АОСР 3 от 31.12.2099 - Армирование вертикальных конструкций с опалубкой на отм. -0.100 в осях Г1-Г4/Д1-Д2</t>
  </si>
  <si>
    <t>Изменено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</si>
</sst>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36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sz val="9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rgb="FF1E68F5"/>
      <name val="Calibri"/>
      <family val="2"/>
      <charset val="204"/>
      <scheme val="minor"/>
    </font>
    <font>
      <b/>
      <sz val="16"/>
      <color rgb="FF1E68F5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ahoma"/>
      <family val="2"/>
      <charset val="204"/>
    </font>
    <font>
      <u/>
      <sz val="10"/>
      <color theme="10"/>
      <name val="Arial Cyr"/>
      <charset val="204"/>
    </font>
    <font>
      <u/>
      <sz val="12"/>
      <color theme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6"/>
      <name val="Segoe UI Black"/>
      <family val="2"/>
      <charset val="204"/>
      <scheme val="major"/>
    </font>
    <font>
      <sz val="12"/>
      <color rgb="FF1E68F5"/>
      <name val="Calibri"/>
      <family val="2"/>
      <scheme val="minor"/>
    </font>
    <font>
      <i/>
      <sz val="12"/>
      <color theme="0" tint="-0.34998626667073579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0"/>
      <name val="Calibri"/>
      <family val="2"/>
      <charset val="204"/>
      <scheme val="minor"/>
    </font>
    <font>
      <sz val="12"/>
      <color theme="1"/>
      <name val="Consolas"/>
      <family val="3"/>
      <charset val="204"/>
    </font>
    <font>
      <b/>
      <sz val="20"/>
      <color rgb="FF1E68F5"/>
      <name val="Calibri"/>
      <family val="2"/>
      <charset val="204"/>
      <scheme val="minor"/>
    </font>
    <font>
      <i/>
      <sz val="12"/>
      <color rgb="FF1E68F5"/>
      <name val="Calibri"/>
      <family val="2"/>
      <charset val="204"/>
      <scheme val="minor"/>
    </font>
    <font>
      <sz val="12"/>
      <color rgb="FF1E68F5"/>
      <name val="Calibri"/>
      <family val="2"/>
      <charset val="204"/>
      <scheme val="minor"/>
    </font>
    <font>
      <i/>
      <sz val="10"/>
      <color rgb="FF1E68F5"/>
      <name val="Calibri"/>
      <family val="2"/>
      <charset val="204"/>
      <scheme val="minor"/>
    </font>
    <font>
      <sz val="10"/>
      <color rgb="FF1E68F5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i/>
      <sz val="12"/>
      <color rgb="FF1E68F5"/>
      <name val="Calibri"/>
      <family val="2"/>
      <charset val="204"/>
      <scheme val="minor"/>
    </font>
    <font>
      <b/>
      <sz val="20"/>
      <color theme="1"/>
      <name val="Segoe UI Black"/>
      <family val="2"/>
      <charset val="204"/>
      <scheme val="major"/>
    </font>
    <font>
      <b/>
      <sz val="12"/>
      <color rgb="FF1E68F5"/>
      <name val="Segoe UI Black"/>
      <family val="2"/>
      <charset val="204"/>
      <scheme val="major"/>
    </font>
    <font>
      <sz val="12"/>
      <color rgb="FF1E68F5"/>
      <name val="Calibri"/>
      <scheme val="minor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E68F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68F5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1E68F5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rgb="FF1E68F5"/>
      </left>
      <right style="thin">
        <color theme="0" tint="-0.14996795556505021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9" fontId="0" fillId="0" borderId="0" xfId="0" applyNumberFormat="1"/>
    <xf numFmtId="0" fontId="3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1" xfId="0" applyBorder="1"/>
    <xf numFmtId="0" fontId="12" fillId="0" borderId="0" xfId="0" applyFont="1"/>
    <xf numFmtId="0" fontId="0" fillId="0" borderId="0" xfId="0" applyAlignment="1">
      <alignment horizontal="center" vertical="center"/>
    </xf>
    <xf numFmtId="49" fontId="0" fillId="0" borderId="3" xfId="0" applyNumberFormat="1" applyBorder="1" applyAlignment="1">
      <alignment wrapText="1"/>
    </xf>
    <xf numFmtId="49" fontId="0" fillId="2" borderId="4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49" fontId="0" fillId="2" borderId="7" xfId="0" applyNumberFormat="1" applyFill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11" fillId="0" borderId="0" xfId="0" applyFont="1"/>
    <xf numFmtId="0" fontId="6" fillId="0" borderId="0" xfId="1" applyFont="1" applyAlignment="1">
      <alignment horizontal="left" wrapText="1"/>
    </xf>
    <xf numFmtId="0" fontId="12" fillId="0" borderId="0" xfId="0" applyFont="1" applyAlignment="1">
      <alignment horizontal="right" vertical="top" indent="1"/>
    </xf>
    <xf numFmtId="0" fontId="4" fillId="0" borderId="1" xfId="1" applyFont="1" applyBorder="1" applyAlignment="1">
      <alignment horizontal="left" vertical="top" wrapText="1"/>
    </xf>
    <xf numFmtId="0" fontId="12" fillId="0" borderId="0" xfId="0" applyFont="1" applyAlignment="1">
      <alignment horizontal="right" vertical="top" wrapText="1" indent="1"/>
    </xf>
    <xf numFmtId="0" fontId="7" fillId="0" borderId="0" xfId="1" applyFont="1" applyAlignment="1">
      <alignment horizontal="left" vertical="top" wrapText="1" indent="1"/>
    </xf>
    <xf numFmtId="0" fontId="5" fillId="0" borderId="0" xfId="1" applyFont="1" applyAlignment="1">
      <alignment horizontal="left"/>
    </xf>
    <xf numFmtId="0" fontId="7" fillId="0" borderId="0" xfId="1" applyFont="1" applyAlignment="1">
      <alignment vertical="top" wrapText="1"/>
    </xf>
    <xf numFmtId="0" fontId="5" fillId="0" borderId="0" xfId="1" applyFont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right" indent="1"/>
    </xf>
    <xf numFmtId="0" fontId="0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wrapText="1"/>
    </xf>
    <xf numFmtId="0" fontId="14" fillId="0" borderId="0" xfId="2" applyFont="1"/>
    <xf numFmtId="0" fontId="13" fillId="0" borderId="0" xfId="2"/>
    <xf numFmtId="0" fontId="17" fillId="0" borderId="0" xfId="2" applyFont="1"/>
    <xf numFmtId="0" fontId="18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0" fillId="0" borderId="0" xfId="0" applyAlignment="1">
      <alignment horizontal="right"/>
    </xf>
    <xf numFmtId="0" fontId="16" fillId="0" borderId="0" xfId="4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9" fillId="0" borderId="1" xfId="0" applyFont="1" applyBorder="1"/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2" fillId="3" borderId="0" xfId="0" applyFont="1" applyFill="1"/>
    <xf numFmtId="0" fontId="23" fillId="0" borderId="0" xfId="2" applyFont="1"/>
    <xf numFmtId="0" fontId="2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12" fillId="0" borderId="0" xfId="2" applyFont="1" applyAlignment="1">
      <alignment horizontal="left"/>
    </xf>
    <xf numFmtId="0" fontId="12" fillId="0" borderId="0" xfId="2" quotePrefix="1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0" xfId="4" applyAlignment="1" applyProtection="1">
      <alignment vertical="top" wrapText="1"/>
    </xf>
    <xf numFmtId="0" fontId="25" fillId="0" borderId="0" xfId="0" applyFont="1"/>
    <xf numFmtId="0" fontId="9" fillId="0" borderId="0" xfId="0" applyFont="1" applyAlignment="1">
      <alignment vertical="top" wrapText="1"/>
    </xf>
    <xf numFmtId="0" fontId="16" fillId="0" borderId="0" xfId="4" applyProtection="1"/>
    <xf numFmtId="0" fontId="9" fillId="0" borderId="0" xfId="0" applyFont="1"/>
    <xf numFmtId="0" fontId="0" fillId="4" borderId="0" xfId="0" applyFill="1" applyAlignment="1">
      <alignment wrapText="1"/>
    </xf>
    <xf numFmtId="0" fontId="25" fillId="0" borderId="0" xfId="0" applyFont="1" applyAlignment="1">
      <alignment wrapText="1"/>
    </xf>
    <xf numFmtId="0" fontId="0" fillId="4" borderId="0" xfId="0" applyFill="1"/>
    <xf numFmtId="0" fontId="0" fillId="0" borderId="0" xfId="0" applyAlignment="1">
      <alignment horizontal="center" wrapText="1"/>
    </xf>
    <xf numFmtId="0" fontId="10" fillId="0" borderId="2" xfId="0" applyFont="1" applyBorder="1"/>
    <xf numFmtId="0" fontId="9" fillId="0" borderId="2" xfId="0" applyFont="1" applyBorder="1" applyAlignment="1">
      <alignment vertical="top"/>
    </xf>
    <xf numFmtId="0" fontId="0" fillId="0" borderId="12" xfId="0" applyBorder="1"/>
    <xf numFmtId="0" fontId="12" fillId="0" borderId="0" xfId="0" applyFont="1" applyAlignment="1">
      <alignment horizontal="right" vertical="top"/>
    </xf>
    <xf numFmtId="49" fontId="0" fillId="0" borderId="1" xfId="0" applyNumberFormat="1" applyBorder="1" applyAlignment="1">
      <alignment wrapText="1"/>
    </xf>
    <xf numFmtId="0" fontId="12" fillId="0" borderId="0" xfId="0" applyFont="1" applyAlignment="1">
      <alignment horizontal="right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8" fillId="0" borderId="12" xfId="0" applyFont="1" applyBorder="1"/>
    <xf numFmtId="0" fontId="26" fillId="0" borderId="0" xfId="0" applyFont="1" applyAlignment="1">
      <alignment horizontal="center" vertical="center"/>
    </xf>
    <xf numFmtId="49" fontId="19" fillId="0" borderId="0" xfId="0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>
      <alignment wrapText="1"/>
    </xf>
    <xf numFmtId="0" fontId="5" fillId="0" borderId="0" xfId="0" applyFont="1" applyAlignment="1">
      <alignment horizontal="center" wrapText="1"/>
    </xf>
    <xf numFmtId="14" fontId="0" fillId="0" borderId="0" xfId="0" applyNumberFormat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wrapText="1"/>
      <protection locked="0"/>
    </xf>
    <xf numFmtId="49" fontId="17" fillId="0" borderId="0" xfId="0" applyNumberFormat="1" applyFont="1" applyAlignment="1" applyProtection="1">
      <alignment wrapText="1"/>
      <protection locked="0"/>
    </xf>
    <xf numFmtId="49" fontId="17" fillId="0" borderId="0" xfId="0" applyNumberFormat="1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wrapText="1"/>
      <protection locked="0"/>
    </xf>
    <xf numFmtId="49" fontId="29" fillId="0" borderId="0" xfId="0" applyNumberFormat="1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wrapText="1"/>
    </xf>
    <xf numFmtId="0" fontId="31" fillId="0" borderId="0" xfId="0" applyFont="1"/>
    <xf numFmtId="164" fontId="0" fillId="0" borderId="0" xfId="0" applyNumberFormat="1"/>
    <xf numFmtId="0" fontId="26" fillId="0" borderId="0" xfId="0" applyFont="1"/>
    <xf numFmtId="0" fontId="0" fillId="0" borderId="0" xfId="0" applyAlignment="1">
      <alignment vertical="top" wrapText="1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Alignment="1">
      <alignment wrapText="1"/>
    </xf>
    <xf numFmtId="0" fontId="10" fillId="0" borderId="0" xfId="0" applyFont="1"/>
    <xf numFmtId="0" fontId="10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14" fontId="17" fillId="0" borderId="2" xfId="0" applyNumberFormat="1" applyFont="1" applyBorder="1" applyAlignment="1" applyProtection="1">
      <alignment horizontal="left"/>
      <protection locked="0"/>
    </xf>
    <xf numFmtId="14" fontId="17" fillId="0" borderId="0" xfId="0" applyNumberFormat="1" applyFont="1" applyAlignment="1" applyProtection="1">
      <alignment horizontal="left"/>
      <protection locked="0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top"/>
    </xf>
    <xf numFmtId="49" fontId="33" fillId="0" borderId="0" xfId="2" quotePrefix="1" applyNumberFormat="1" applyFont="1" applyAlignment="1">
      <alignment vertical="top"/>
    </xf>
    <xf numFmtId="0" fontId="34" fillId="0" borderId="0" xfId="0" applyFont="1" applyAlignment="1">
      <alignment horizontal="center" vertical="center"/>
    </xf>
    <xf numFmtId="0" fontId="17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8" fillId="0" borderId="2" xfId="0" applyFont="1" applyBorder="1" applyAlignment="1" applyProtection="1">
      <alignment horizontal="center" vertical="center"/>
      <protection locked="0"/>
    </xf>
    <xf numFmtId="49" fontId="17" fillId="0" borderId="9" xfId="0" applyNumberFormat="1" applyFont="1" applyBorder="1" applyProtection="1"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top" wrapText="1"/>
      <protection locked="0"/>
    </xf>
    <xf numFmtId="49" fontId="0" fillId="0" borderId="0" xfId="0" applyNumberFormat="1" applyAlignment="1" applyProtection="1">
      <alignment wrapText="1"/>
      <protection locked="0"/>
    </xf>
    <xf numFmtId="14" fontId="0" fillId="0" borderId="0" xfId="0" applyNumberFormat="1" applyAlignment="1" applyProtection="1">
      <alignment horizontal="right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2" xfId="0" applyBorder="1" applyProtection="1">
      <protection locked="0"/>
    </xf>
    <xf numFmtId="0" fontId="0" fillId="0" borderId="0" xfId="0" applyAlignment="1" applyProtection="1">
      <alignment vertical="top"/>
      <protection locked="0"/>
    </xf>
    <xf numFmtId="164" fontId="0" fillId="0" borderId="2" xfId="0" applyNumberFormat="1" applyBorder="1" applyProtection="1">
      <protection locked="0"/>
    </xf>
    <xf numFmtId="49" fontId="0" fillId="0" borderId="0" xfId="0" applyNumberFormat="1" applyAlignment="1">
      <alignment horizontal="left"/>
    </xf>
    <xf numFmtId="14" fontId="0" fillId="0" borderId="0" xfId="0" applyNumberFormat="1" applyAlignment="1" applyProtection="1">
      <alignment vertical="top" wrapText="1"/>
      <protection locked="0"/>
    </xf>
    <xf numFmtId="0" fontId="5" fillId="4" borderId="10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4" borderId="11" xfId="0" applyFont="1" applyFill="1" applyBorder="1" applyAlignment="1">
      <alignment vertical="top" wrapText="1"/>
    </xf>
    <xf numFmtId="49" fontId="0" fillId="0" borderId="0" xfId="0" applyNumberFormat="1" applyAlignment="1" applyProtection="1">
      <alignment horizontal="center" vertical="center"/>
      <protection locked="0"/>
    </xf>
    <xf numFmtId="0" fontId="28" fillId="0" borderId="0" xfId="0" applyFont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30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29" fillId="0" borderId="0" xfId="0" applyFont="1"/>
    <xf numFmtId="0" fontId="27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0" fillId="0" borderId="12" xfId="0" applyBorder="1" applyAlignment="1">
      <alignment horizontal="left" wrapText="1"/>
    </xf>
  </cellXfs>
  <cellStyles count="5">
    <cellStyle name="Гиперссылка" xfId="4" builtinId="8"/>
    <cellStyle name="Гиперссылка 2" xfId="3"/>
    <cellStyle name="Обычный" xfId="0" builtinId="0" customBuiltin="1"/>
    <cellStyle name="Обычный 2" xfId="1"/>
    <cellStyle name="Обычный 3" xfId="2"/>
  </cellStyles>
  <dxfs count="3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color rgb="FF1E68F5"/>
      </font>
      <numFmt numFmtId="0" formatCode="General"/>
    </dxf>
    <dxf>
      <font>
        <color rgb="FF1E68F5"/>
      </font>
      <numFmt numFmtId="0" formatCode="General"/>
    </dxf>
    <dxf>
      <font>
        <color rgb="FF1E68F5"/>
      </font>
      <numFmt numFmtId="0" formatCode="General"/>
    </dxf>
    <dxf>
      <font>
        <color rgb="FF1E68F5"/>
      </font>
      <numFmt numFmtId="0" formatCode="General"/>
    </dxf>
    <dxf>
      <font>
        <color rgb="FF1E68F5"/>
      </font>
      <numFmt numFmtId="0" formatCode="General"/>
    </dxf>
    <dxf>
      <font>
        <color rgb="FF1E68F5"/>
      </font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yy"/>
    </dxf>
    <dxf>
      <font>
        <b/>
        <strike val="0"/>
        <outline val="0"/>
        <shadow val="0"/>
        <u val="none"/>
        <vertAlign val="baseline"/>
        <sz val="20"/>
        <color rgb="FF1E68F5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rgb="FF1E68F5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E68F5"/>
        <name val="Calibri"/>
        <scheme val="minor"/>
      </font>
      <alignment horizontal="center" vertical="center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font>
        <i/>
        <strike val="0"/>
        <outline val="0"/>
        <shadow val="0"/>
        <u val="none"/>
        <vertAlign val="baseline"/>
        <sz val="12"/>
        <color rgb="FF1E68F5"/>
        <name val="Calibri"/>
        <scheme val="minor"/>
      </font>
    </dxf>
    <dxf>
      <font>
        <b/>
      </font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numFmt numFmtId="164" formatCode="m/d/yyyy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numFmt numFmtId="164" formatCode="m/d/yyyy"/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b val="0"/>
      </font>
      <protection locked="0" hidden="0"/>
    </dxf>
    <dxf>
      <font>
        <b val="0"/>
      </font>
      <alignment horizontal="general" vertical="bottom" textRotation="0" wrapText="1" indent="0" justifyLastLine="0" shrinkToFit="0" readingOrder="0"/>
      <protection locked="0" hidden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</font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164" formatCode="m/d/yyyy"/>
      <alignment horizontal="right" vertical="bottom" textRotation="0" wrapText="1" indent="0" justifyLastLine="0" shrinkToFit="0" readingOrder="0"/>
      <protection locked="0" hidden="0"/>
    </dxf>
    <dxf>
      <font>
        <b val="0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b val="0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b val="0"/>
      </font>
      <protection locked="0" hidden="0"/>
    </dxf>
    <dxf>
      <font>
        <b val="0"/>
      </font>
      <protection locked="0" hidden="0"/>
    </dxf>
    <dxf>
      <font>
        <b val="0"/>
      </font>
      <numFmt numFmtId="164" formatCode="m/d/yyyy"/>
      <protection locked="0" hidden="0"/>
    </dxf>
    <dxf>
      <font>
        <b val="0"/>
      </font>
      <alignment horizontal="general" vertical="bottom" textRotation="0" wrapText="1" indent="0" justifyLastLine="0" shrinkToFit="0" readingOrder="0"/>
      <protection locked="0" hidden="0"/>
    </dxf>
    <dxf>
      <font>
        <b val="0"/>
      </font>
      <alignment horizontal="general" vertical="bottom" textRotation="0" wrapText="1" indent="0" justifyLastLine="0" shrinkToFit="0" readingOrder="0"/>
      <protection locked="0" hidden="0"/>
    </dxf>
    <dxf>
      <protection locked="1" hidden="0"/>
    </dxf>
    <dxf>
      <font>
        <b val="0"/>
      </font>
    </dxf>
    <dxf>
      <font>
        <b/>
      </font>
      <alignment horizontal="general" vertical="top" textRotation="0" indent="0" justifyLastLine="0" shrinkToFit="0" readingOrder="0"/>
      <protection locked="1" hidden="0"/>
    </dxf>
    <dxf>
      <border>
        <top style="thin">
          <color theme="4" tint="0.79992065187536243"/>
        </top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1E68F5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vertical="bottom" textRotation="0" indent="0" justifyLastLine="0" shrinkToFit="0" readingOrder="0"/>
      <border outline="0">
        <right style="thin">
          <color rgb="FF1E68F5"/>
        </right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border outline="0">
        <left/>
        <right style="thin">
          <color rgb="FF1E68F5"/>
        </right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color rgb="FF1E68F5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1E68F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E68F5"/>
        </left>
        <right/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outline="0">
        <left/>
        <right style="thin">
          <color rgb="FF1E68F5"/>
        </right>
      </border>
      <protection locked="0" hidden="0"/>
    </dxf>
    <dxf>
      <font>
        <strike val="0"/>
        <outline val="0"/>
        <shadow val="0"/>
        <u val="none"/>
        <vertAlign val="baseline"/>
        <sz val="10"/>
        <color rgb="FF1E68F5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68F5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1E68F5"/>
        <name val="Calibri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i/>
        <strike val="0"/>
        <outline val="0"/>
        <shadow val="0"/>
        <u val="none"/>
        <vertAlign val="baseline"/>
        <sz val="10"/>
        <color rgb="FF1E68F5"/>
        <name val="Calibri"/>
        <scheme val="minor"/>
      </font>
      <alignment vertical="bottom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vertical="bottom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justifyLastLine="0" shrinkToFit="0" readingOrder="0"/>
      <protection locked="1" hidden="0"/>
    </dxf>
    <dxf>
      <fill>
        <patternFill>
          <fgColor indexed="64"/>
          <bgColor rgb="FFE2E9F8"/>
        </patternFill>
      </fill>
    </dxf>
    <dxf>
      <fill>
        <patternFill>
          <fgColor indexed="64"/>
          <bgColor rgb="FFE2E9F8"/>
        </patternFill>
      </fill>
    </dxf>
    <dxf>
      <font>
        <b/>
      </font>
    </dxf>
    <dxf>
      <font>
        <b/>
      </font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/d/yyyy"/>
    </dxf>
    <dxf>
      <numFmt numFmtId="164" formatCode="m/d/yyyy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m/d/yyyy"/>
      <alignment horizontal="general" vertical="bottom" textRotation="0" wrapText="1" indent="0" justifyLastLine="0" shrinkToFit="0" readingOrder="0"/>
    </dxf>
    <dxf>
      <numFmt numFmtId="164" formatCode="m/d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nsola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onsolas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1E68F5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</border>
    </dxf>
    <dxf>
      <fill>
        <patternFill>
          <bgColor rgb="FFFAFAFA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border>
        <left style="thin">
          <color theme="0" tint="-0.14996795556505021"/>
        </left>
        <right style="thin">
          <color theme="0" tint="-0.14996795556505021"/>
        </right>
        <bottom/>
        <vertical style="thin">
          <color theme="0" tint="-0.14996795556505021"/>
        </vertical>
        <horizontal/>
      </border>
    </dxf>
    <dxf>
      <font>
        <color theme="1"/>
      </font>
      <border>
        <top/>
        <bottom style="thin">
          <color auto="1"/>
        </bottom>
        <horizontal style="thin">
          <color theme="1"/>
        </horizontal>
      </border>
    </dxf>
    <dxf>
      <border>
        <left style="thin">
          <color theme="4" tint="0.79998168889431442"/>
        </left>
        <right style="thin">
          <color theme="4" tint="0.79998168889431442"/>
        </right>
      </border>
    </dxf>
    <dxf>
      <fill>
        <patternFill patternType="solid">
          <fgColor theme="8" tint="0.79998168889431442"/>
          <bgColor theme="8" tint="0.79998168889431442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4506668294322"/>
        </top>
        <bottom style="thin">
          <color auto="1"/>
        </bottom>
        <horizontal style="thin">
          <color auto="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</border>
    </dxf>
    <dxf>
      <fill>
        <patternFill>
          <bgColor rgb="FFFAFAFA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border>
        <left style="thin">
          <color theme="0" tint="-0.14996795556505021"/>
        </left>
        <right style="thin">
          <color theme="0" tint="-0.14996795556505021"/>
        </right>
        <bottom/>
        <vertical style="thin">
          <color theme="0" tint="-0.14996795556505021"/>
        </vertical>
        <horizontal/>
      </border>
    </dxf>
    <dxf>
      <font>
        <color theme="1"/>
      </font>
      <border>
        <top/>
        <bottom style="thin">
          <color theme="0" tint="-0.14996795556505021"/>
        </bottom>
        <horizontal style="thin">
          <color theme="0" tint="-0.14993743705557422"/>
        </horizontal>
      </border>
    </dxf>
    <dxf>
      <border>
        <left style="thin">
          <color theme="4" tint="0.59996337778862885"/>
        </left>
        <right style="thin">
          <color theme="4" tint="0.59996337778862885"/>
        </right>
        <vertical style="thin">
          <color theme="4" tint="0.59996337778862885"/>
        </vertical>
      </border>
    </dxf>
    <dxf>
      <border>
        <top style="thin">
          <color theme="4"/>
        </top>
        <bottom style="thin">
          <color theme="4"/>
        </bottom>
        <horizontal style="thin">
          <color theme="4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4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</dxfs>
  <tableStyles count="4" defaultTableStyle="TableStyleMedium2" defaultPivotStyle="PivotStyleLight16">
    <tableStyle name="main" pivot="0" count="7">
      <tableStyleElement type="wholeTable" dxfId="361"/>
      <tableStyleElement type="headerRow" dxfId="360"/>
      <tableStyleElement type="totalRow" dxfId="359"/>
      <tableStyleElement type="firstColumn" dxfId="358"/>
      <tableStyleElement type="lastColumn" dxfId="357"/>
      <tableStyleElement type="firstRowStripe" dxfId="356"/>
      <tableStyleElement type="firstColumnStripe" dxfId="355"/>
    </tableStyle>
    <tableStyle name="TableStyleLight1 2" pivot="0" count="7">
      <tableStyleElement type="wholeTable" dxfId="354"/>
      <tableStyleElement type="headerRow" dxfId="353"/>
      <tableStyleElement type="totalRow" dxfId="352"/>
      <tableStyleElement type="firstColumn" dxfId="351"/>
      <tableStyleElement type="lastColumn" dxfId="350"/>
      <tableStyleElement type="firstRowStripe" dxfId="349"/>
      <tableStyleElement type="firstColumnStripe" dxfId="348"/>
    </tableStyle>
    <tableStyle name="TableStyleMedium6 2" pivot="0" count="6">
      <tableStyleElement type="wholeTable" dxfId="347"/>
      <tableStyleElement type="headerRow" dxfId="346"/>
      <tableStyleElement type="totalRow" dxfId="345"/>
      <tableStyleElement type="lastColumn" dxfId="344"/>
      <tableStyleElement type="firstRowStripe" dxfId="343"/>
      <tableStyleElement type="firstColumnStripe" dxfId="342"/>
    </tableStyle>
    <tableStyle name="Материалы" pivot="0" count="7">
      <tableStyleElement type="wholeTable" dxfId="341"/>
      <tableStyleElement type="headerRow" dxfId="340"/>
      <tableStyleElement type="totalRow" dxfId="339"/>
      <tableStyleElement type="firstColumn" dxfId="338"/>
      <tableStyleElement type="lastColumn" dxfId="337"/>
      <tableStyleElement type="firstRowStripe" dxfId="336"/>
      <tableStyleElement type="firstColumnStripe" dxfId="335"/>
    </tableStyle>
  </tableStyles>
  <colors>
    <mruColors>
      <color rgb="FF1E68F5"/>
      <color rgb="FF5B5B5B"/>
      <color rgb="FFFE7762"/>
      <color rgb="FFFF7979"/>
      <color rgb="FFE2E9F8"/>
      <color rgb="FFCCECFF"/>
      <color rgb="FF99CCFF"/>
      <color rgb="FFC2C2FC"/>
      <color rgb="FF6666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agenerator.ru/guide/#feedback" TargetMode="External"/><Relationship Id="rId2" Type="http://schemas.openxmlformats.org/officeDocument/2006/relationships/hyperlink" Target="https://agenerator.ru/product/ag-subscr/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s://agenerator.ru/guide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146051</xdr:rowOff>
    </xdr:from>
    <xdr:to>
      <xdr:col>0</xdr:col>
      <xdr:colOff>647699</xdr:colOff>
      <xdr:row>2</xdr:row>
      <xdr:rowOff>377088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EBD1BBD-2D45-14A8-3E61-5B6088ECE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051"/>
          <a:ext cx="584199" cy="643787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</xdr:row>
      <xdr:rowOff>146050</xdr:rowOff>
    </xdr:from>
    <xdr:to>
      <xdr:col>1</xdr:col>
      <xdr:colOff>1657350</xdr:colOff>
      <xdr:row>5</xdr:row>
      <xdr:rowOff>452379</xdr:rowOff>
    </xdr:to>
    <xdr:sp macro="[0]!создание_всех_новый" textlink="">
      <xdr:nvSpPr>
        <xdr:cNvPr id="2" name="Прямоугольник: скругленные углы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704D0F-85C7-4292-9BF5-F6F7BFEB4A3F}"/>
            </a:ext>
          </a:extLst>
        </xdr:cNvPr>
        <xdr:cNvSpPr/>
      </xdr:nvSpPr>
      <xdr:spPr>
        <a:xfrm>
          <a:off x="1409700" y="1397000"/>
          <a:ext cx="1644650" cy="306329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Продлить</a:t>
          </a:r>
          <a:r>
            <a:rPr lang="ru-RU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лицензию</a:t>
          </a:r>
          <a:endParaRPr lang="ru-RU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1238250</xdr:colOff>
      <xdr:row>5</xdr:row>
      <xdr:rowOff>146050</xdr:rowOff>
    </xdr:from>
    <xdr:to>
      <xdr:col>2</xdr:col>
      <xdr:colOff>2863850</xdr:colOff>
      <xdr:row>5</xdr:row>
      <xdr:rowOff>452379</xdr:rowOff>
    </xdr:to>
    <xdr:sp macro="[0]!создание_всех_новый" textlink="">
      <xdr:nvSpPr>
        <xdr:cNvPr id="4" name="Прямоугольник: скругленные углы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3D0D41-1FEF-954C-3D31-039F2494F532}"/>
            </a:ext>
          </a:extLst>
        </xdr:cNvPr>
        <xdr:cNvSpPr/>
      </xdr:nvSpPr>
      <xdr:spPr>
        <a:xfrm>
          <a:off x="3740150" y="1435100"/>
          <a:ext cx="1625600" cy="306329"/>
        </a:xfrm>
        <a:prstGeom prst="roundRect">
          <a:avLst>
            <a:gd name="adj" fmla="val 813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="1">
              <a:solidFill>
                <a:sysClr val="windowText" lastClr="000000"/>
              </a:solidFill>
              <a:effectLst/>
            </a:rPr>
            <a:t>Сообщить</a:t>
          </a:r>
          <a:r>
            <a:rPr lang="ru-RU" b="1" baseline="0">
              <a:solidFill>
                <a:sysClr val="windowText" lastClr="000000"/>
              </a:solidFill>
              <a:effectLst/>
            </a:rPr>
            <a:t> о проблеме</a:t>
          </a:r>
          <a:endParaRPr lang="ru-RU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12700</xdr:colOff>
      <xdr:row>5</xdr:row>
      <xdr:rowOff>146050</xdr:rowOff>
    </xdr:from>
    <xdr:to>
      <xdr:col>2</xdr:col>
      <xdr:colOff>1130300</xdr:colOff>
      <xdr:row>5</xdr:row>
      <xdr:rowOff>452379</xdr:rowOff>
    </xdr:to>
    <xdr:sp macro="[0]!создание_всех_новый" textlink="">
      <xdr:nvSpPr>
        <xdr:cNvPr id="5" name="Прямоугольник: скругленные углы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1160FF-D885-1794-C22C-A29220A87833}"/>
            </a:ext>
          </a:extLst>
        </xdr:cNvPr>
        <xdr:cNvSpPr/>
      </xdr:nvSpPr>
      <xdr:spPr>
        <a:xfrm>
          <a:off x="2679700" y="1435100"/>
          <a:ext cx="1117600" cy="306329"/>
        </a:xfrm>
        <a:prstGeom prst="roundRect">
          <a:avLst>
            <a:gd name="adj" fmla="val 813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Справка</a:t>
          </a:r>
          <a:endParaRPr lang="ru-RU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31750</xdr:colOff>
      <xdr:row>18</xdr:row>
      <xdr:rowOff>69850</xdr:rowOff>
    </xdr:from>
    <xdr:to>
      <xdr:col>1</xdr:col>
      <xdr:colOff>1619250</xdr:colOff>
      <xdr:row>19</xdr:row>
      <xdr:rowOff>179329</xdr:rowOff>
    </xdr:to>
    <xdr:sp macro="[0]!создание_всех_новый" textlink="">
      <xdr:nvSpPr>
        <xdr:cNvPr id="6" name="Прямоугольник: скругленные углы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ECCAEF-A72E-4FB5-A09D-1BDFA8718164}"/>
            </a:ext>
          </a:extLst>
        </xdr:cNvPr>
        <xdr:cNvSpPr/>
      </xdr:nvSpPr>
      <xdr:spPr>
        <a:xfrm>
          <a:off x="768350" y="4730750"/>
          <a:ext cx="1587500" cy="306329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▶</a:t>
          </a: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Смотреть видео</a:t>
          </a:r>
          <a:endParaRPr lang="ru-RU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88900</xdr:colOff>
      <xdr:row>38</xdr:row>
      <xdr:rowOff>38100</xdr:rowOff>
    </xdr:from>
    <xdr:to>
      <xdr:col>12</xdr:col>
      <xdr:colOff>19050</xdr:colOff>
      <xdr:row>39</xdr:row>
      <xdr:rowOff>121803</xdr:rowOff>
    </xdr:to>
    <xdr:sp macro="[0]!кнопкаОчиститьМатериалы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8ED6976-534D-4AA9-922D-CA0004098537}"/>
            </a:ext>
          </a:extLst>
        </xdr:cNvPr>
        <xdr:cNvSpPr/>
      </xdr:nvSpPr>
      <xdr:spPr>
        <a:xfrm>
          <a:off x="7924800" y="7740650"/>
          <a:ext cx="1250950" cy="280553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Материалы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  <xdr:twoCellAnchor editAs="oneCell">
    <xdr:from>
      <xdr:col>8</xdr:col>
      <xdr:colOff>19050</xdr:colOff>
      <xdr:row>38</xdr:row>
      <xdr:rowOff>38100</xdr:rowOff>
    </xdr:from>
    <xdr:to>
      <xdr:col>10</xdr:col>
      <xdr:colOff>25400</xdr:colOff>
      <xdr:row>39</xdr:row>
      <xdr:rowOff>121803</xdr:rowOff>
    </xdr:to>
    <xdr:sp macro="[0]!кнопкаОчиститьАкты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AA755378-3A52-7458-7455-74939E8DEE59}"/>
            </a:ext>
          </a:extLst>
        </xdr:cNvPr>
        <xdr:cNvSpPr/>
      </xdr:nvSpPr>
      <xdr:spPr>
        <a:xfrm>
          <a:off x="6610350" y="7740650"/>
          <a:ext cx="1250950" cy="280553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Акты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  <xdr:twoCellAnchor editAs="oneCell">
    <xdr:from>
      <xdr:col>8</xdr:col>
      <xdr:colOff>19050</xdr:colOff>
      <xdr:row>39</xdr:row>
      <xdr:rowOff>171450</xdr:rowOff>
    </xdr:from>
    <xdr:to>
      <xdr:col>10</xdr:col>
      <xdr:colOff>25400</xdr:colOff>
      <xdr:row>41</xdr:row>
      <xdr:rowOff>58303</xdr:rowOff>
    </xdr:to>
    <xdr:sp macro="[0]!кнопкаОчиститьСхемы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6F4B2E63-3A20-50CD-16C7-6C84C7166411}"/>
            </a:ext>
          </a:extLst>
        </xdr:cNvPr>
        <xdr:cNvSpPr/>
      </xdr:nvSpPr>
      <xdr:spPr>
        <a:xfrm>
          <a:off x="6610350" y="8070850"/>
          <a:ext cx="1250950" cy="280553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Схемы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  <xdr:twoCellAnchor editAs="oneCell">
    <xdr:from>
      <xdr:col>8</xdr:col>
      <xdr:colOff>31750</xdr:colOff>
      <xdr:row>25</xdr:row>
      <xdr:rowOff>47625</xdr:rowOff>
    </xdr:from>
    <xdr:to>
      <xdr:col>10</xdr:col>
      <xdr:colOff>371476</xdr:colOff>
      <xdr:row>26</xdr:row>
      <xdr:rowOff>131328</xdr:rowOff>
    </xdr:to>
    <xdr:sp macro="[0]!кнопкаИмпортироватьВсё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379B660D-A84B-43DD-9BF6-434C8D1D35DF}"/>
            </a:ext>
          </a:extLst>
        </xdr:cNvPr>
        <xdr:cNvSpPr/>
      </xdr:nvSpPr>
      <xdr:spPr>
        <a:xfrm>
          <a:off x="6604000" y="5915025"/>
          <a:ext cx="1577976" cy="283728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⬇️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Перенести данные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  <xdr:twoCellAnchor>
    <xdr:from>
      <xdr:col>2</xdr:col>
      <xdr:colOff>666750</xdr:colOff>
      <xdr:row>104</xdr:row>
      <xdr:rowOff>101600</xdr:rowOff>
    </xdr:from>
    <xdr:to>
      <xdr:col>2</xdr:col>
      <xdr:colOff>1927392</xdr:colOff>
      <xdr:row>105</xdr:row>
      <xdr:rowOff>182446</xdr:rowOff>
    </xdr:to>
    <xdr:sp macro="[0]!СоздатьНовыйШаблон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70746A61-A7C1-42C8-829F-E17C0BED36FB}"/>
            </a:ext>
          </a:extLst>
        </xdr:cNvPr>
        <xdr:cNvSpPr/>
      </xdr:nvSpPr>
      <xdr:spPr>
        <a:xfrm>
          <a:off x="2127250" y="10363200"/>
          <a:ext cx="1260642" cy="277696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="1">
              <a:solidFill>
                <a:schemeClr val="bg1"/>
              </a:solidFill>
              <a:effectLst/>
            </a:rPr>
            <a:t>Создать</a:t>
          </a:r>
          <a:r>
            <a:rPr lang="ru-RU" b="1" baseline="0">
              <a:solidFill>
                <a:schemeClr val="bg1"/>
              </a:solidFill>
              <a:effectLst/>
            </a:rPr>
            <a:t> шаблон</a:t>
          </a:r>
          <a:endParaRPr lang="ru-RU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8</xdr:col>
      <xdr:colOff>19050</xdr:colOff>
      <xdr:row>33</xdr:row>
      <xdr:rowOff>88900</xdr:rowOff>
    </xdr:from>
    <xdr:to>
      <xdr:col>12</xdr:col>
      <xdr:colOff>12700</xdr:colOff>
      <xdr:row>34</xdr:row>
      <xdr:rowOff>172603</xdr:rowOff>
    </xdr:to>
    <xdr:sp macro="[0]!кнопкаОчиститьВсё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93458802-0BC1-8643-2AD9-61FFCA1F57DC}"/>
            </a:ext>
          </a:extLst>
        </xdr:cNvPr>
        <xdr:cNvSpPr/>
      </xdr:nvSpPr>
      <xdr:spPr>
        <a:xfrm>
          <a:off x="6572250" y="5880100"/>
          <a:ext cx="2533650" cy="280553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Очистить все таблицы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  <xdr:twoCellAnchor editAs="oneCell">
    <xdr:from>
      <xdr:col>10</xdr:col>
      <xdr:colOff>88900</xdr:colOff>
      <xdr:row>39</xdr:row>
      <xdr:rowOff>177800</xdr:rowOff>
    </xdr:from>
    <xdr:to>
      <xdr:col>12</xdr:col>
      <xdr:colOff>19050</xdr:colOff>
      <xdr:row>41</xdr:row>
      <xdr:rowOff>64653</xdr:rowOff>
    </xdr:to>
    <xdr:sp macro="[0]!кнопкаОчиститьПротоколы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0AB95DEB-D276-BA30-F7E6-0883460A2CA7}"/>
            </a:ext>
          </a:extLst>
        </xdr:cNvPr>
        <xdr:cNvSpPr/>
      </xdr:nvSpPr>
      <xdr:spPr>
        <a:xfrm>
          <a:off x="7924800" y="8077200"/>
          <a:ext cx="1250950" cy="280553"/>
        </a:xfrm>
        <a:prstGeom prst="roundRect">
          <a:avLst>
            <a:gd name="adj" fmla="val 813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 b="0" i="0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ru-RU" sz="1100" b="1">
              <a:solidFill>
                <a:srgbClr val="5B5B5B"/>
              </a:solidFill>
              <a:effectLst/>
              <a:latin typeface="+mn-lt"/>
              <a:ea typeface="+mn-ea"/>
              <a:cs typeface="+mn-cs"/>
            </a:rPr>
            <a:t>Протоколы</a:t>
          </a:r>
          <a:endParaRPr lang="ru-RU">
            <a:solidFill>
              <a:srgbClr val="5B5B5B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1</xdr:row>
      <xdr:rowOff>63500</xdr:rowOff>
    </xdr:from>
    <xdr:to>
      <xdr:col>8</xdr:col>
      <xdr:colOff>47792</xdr:colOff>
      <xdr:row>1</xdr:row>
      <xdr:rowOff>347546</xdr:rowOff>
    </xdr:to>
    <xdr:sp macro="[0]!createReestrByActs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1770601B-DF12-41F7-B1AD-C5766EC5940F}"/>
            </a:ext>
          </a:extLst>
        </xdr:cNvPr>
        <xdr:cNvSpPr/>
      </xdr:nvSpPr>
      <xdr:spPr>
        <a:xfrm>
          <a:off x="7918450" y="63500"/>
          <a:ext cx="1260642" cy="284046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 актам</a:t>
          </a:r>
          <a:endParaRPr lang="ru-RU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44450</xdr:colOff>
      <xdr:row>1</xdr:row>
      <xdr:rowOff>63500</xdr:rowOff>
    </xdr:from>
    <xdr:to>
      <xdr:col>5</xdr:col>
      <xdr:colOff>644692</xdr:colOff>
      <xdr:row>1</xdr:row>
      <xdr:rowOff>347546</xdr:rowOff>
    </xdr:to>
    <xdr:sp macro="[0]!createReestrByTypes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78AD8F44-246F-403E-C4EC-AF24F7970FF9}"/>
            </a:ext>
          </a:extLst>
        </xdr:cNvPr>
        <xdr:cNvSpPr/>
      </xdr:nvSpPr>
      <xdr:spPr>
        <a:xfrm>
          <a:off x="6534150" y="63500"/>
          <a:ext cx="1260642" cy="284046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 типам</a:t>
          </a:r>
          <a:endParaRPr lang="ru-RU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6</xdr:col>
      <xdr:colOff>190501</xdr:colOff>
      <xdr:row>2</xdr:row>
      <xdr:rowOff>171450</xdr:rowOff>
    </xdr:from>
    <xdr:to>
      <xdr:col>7</xdr:col>
      <xdr:colOff>589211</xdr:colOff>
      <xdr:row>11</xdr:row>
      <xdr:rowOff>127000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59C2DF4-1B00-5D22-9794-A58FAF35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1" y="533400"/>
          <a:ext cx="1059110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139701</xdr:colOff>
      <xdr:row>2</xdr:row>
      <xdr:rowOff>190501</xdr:rowOff>
    </xdr:from>
    <xdr:to>
      <xdr:col>5</xdr:col>
      <xdr:colOff>495301</xdr:colOff>
      <xdr:row>11</xdr:row>
      <xdr:rowOff>92637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4E1F562-F873-32D5-F27B-875FAC35E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1" y="552451"/>
          <a:ext cx="1016000" cy="18706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164352</xdr:colOff>
      <xdr:row>0</xdr:row>
      <xdr:rowOff>44823</xdr:rowOff>
    </xdr:from>
    <xdr:to>
      <xdr:col>4</xdr:col>
      <xdr:colOff>1364578</xdr:colOff>
      <xdr:row>1</xdr:row>
      <xdr:rowOff>156917</xdr:rowOff>
    </xdr:to>
    <xdr:sp macro="[0]!ОбновитьЖВЗП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0065E3AB-9A04-40AD-8FEF-DBED8439E4F6}"/>
            </a:ext>
          </a:extLst>
        </xdr:cNvPr>
        <xdr:cNvSpPr/>
      </xdr:nvSpPr>
      <xdr:spPr>
        <a:xfrm>
          <a:off x="5192058" y="44823"/>
          <a:ext cx="1200226" cy="306329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Обновить</a:t>
          </a:r>
          <a:endParaRPr lang="ru-RU">
            <a:solidFill>
              <a:schemeClr val="bg1"/>
            </a:solidFill>
            <a:effectLst/>
          </a:endParaRP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179294</xdr:colOff>
      <xdr:row>0</xdr:row>
      <xdr:rowOff>37353</xdr:rowOff>
    </xdr:from>
    <xdr:to>
      <xdr:col>4</xdr:col>
      <xdr:colOff>1379520</xdr:colOff>
      <xdr:row>1</xdr:row>
      <xdr:rowOff>149447</xdr:rowOff>
    </xdr:to>
    <xdr:sp macro="[0]!ОбновитьЖВК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9E72EB32-858B-49B8-9AF7-E10870871F01}"/>
            </a:ext>
          </a:extLst>
        </xdr:cNvPr>
        <xdr:cNvSpPr/>
      </xdr:nvSpPr>
      <xdr:spPr>
        <a:xfrm>
          <a:off x="4833470" y="37353"/>
          <a:ext cx="1200226" cy="306329"/>
        </a:xfrm>
        <a:prstGeom prst="roundRect">
          <a:avLst>
            <a:gd name="adj" fmla="val 8137"/>
          </a:avLst>
        </a:prstGeom>
        <a:solidFill>
          <a:srgbClr val="1E68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Обновить</a:t>
          </a:r>
          <a:endParaRPr lang="ru-RU">
            <a:solidFill>
              <a:schemeClr val="bg1"/>
            </a:solidFill>
            <a:effectLst/>
          </a:endParaRPr>
        </a:p>
      </xdr:txBody>
    </xdr:sp>
    <xdr:clientData fPrintsWithSheet="0"/>
  </xdr:twoCellAnchor>
</xdr:wsDr>
</file>

<file path=xl/queryTables/queryTable1.xml><?xml version="1.0" encoding="utf-8"?>
<queryTable xmlns="http://schemas.openxmlformats.org/spreadsheetml/2006/main" name="ExternalData_1" backgroundRefresh="0" connectionId="47" autoFormatId="16" applyNumberFormats="0" applyBorderFormats="0" applyFontFormats="0" applyPatternFormats="0" applyAlignmentFormats="0" applyWidthHeightFormats="0">
  <queryTableRefresh nextId="12">
    <queryTableFields count="11">
      <queryTableField id="1" name="Item" tableColumnId="1"/>
      <queryTableField id="2" name="Статус" tableColumnId="2"/>
      <queryTableField id="3" name="1" tableColumnId="3"/>
      <queryTableField id="4" name="2" tableColumnId="4"/>
      <queryTableField id="5" name="Объем" tableColumnId="5"/>
      <queryTableField id="6" name="Ед. изм." tableColumnId="6"/>
      <queryTableField id="7" name="Начало" tableColumnId="7"/>
      <queryTableField id="8" name="Окончание" tableColumnId="8"/>
      <queryTableField id="9" name="id" tableColumnId="9"/>
      <queryTableField id="10" name="id_уникальный" tableColumnId="10"/>
      <queryTableField id="11" name="Тип" tableColumnId="11"/>
    </queryTableFields>
  </queryTableRefresh>
</queryTable>
</file>

<file path=xl/queryTables/queryTable2.xml><?xml version="1.0" encoding="utf-8"?>
<queryTable xmlns="http://schemas.openxmlformats.org/spreadsheetml/2006/main" name="ExternalData_3" backgroundRefresh="0" connectionId="64" autoFormatId="16" applyNumberFormats="0" applyBorderFormats="0" applyFontFormats="0" applyPatternFormats="0" applyAlignmentFormats="0" applyWidthHeightFormats="0">
  <queryTableRefresh nextId="5">
    <queryTableFields count="4">
      <queryTableField id="1" name="Номер АВК" tableColumnId="1"/>
      <queryTableField id="2" name="Дата АВК" tableColumnId="2"/>
      <queryTableField id="3" name="РД" tableColumnId="3"/>
      <queryTableField id="4" name="Название материала" tableColumnId="4"/>
    </queryTableFields>
  </queryTableRefresh>
</queryTable>
</file>

<file path=xl/queryTables/queryTable3.xml><?xml version="1.0" encoding="utf-8"?>
<queryTable xmlns="http://schemas.openxmlformats.org/spreadsheetml/2006/main" name="ExternalData_2" backgroundRefresh="0" connectionId="53" autoFormatId="16" applyNumberFormats="0" applyBorderFormats="0" applyFontFormats="0" applyPatternFormats="0" applyAlignmentFormats="0" applyWidthHeightFormats="0">
  <queryTableRefresh nextId="32">
    <queryTableFields count="17">
      <queryTableField id="14" name="id материала" tableColumnId="2"/>
      <queryTableField id="15" name="Дата АВК" tableColumnId="8"/>
      <queryTableField id="3" name="Название материала" tableColumnId="3"/>
      <queryTableField id="4" name="Сертификат" tableColumnId="4"/>
      <queryTableField id="5" name="Объём" tableColumnId="5"/>
      <queryTableField id="6" name="Ед. изм." tableColumnId="6"/>
      <queryTableField id="7" name="Шифр РД" tableColumnId="7"/>
      <queryTableField id="8" name="Номер АВК" tableColumnId="1"/>
      <queryTableField id="16" name="Вид осмотра" tableColumnId="9"/>
      <queryTableField id="17" name="Геом. размеры" tableColumnId="10"/>
      <queryTableField id="18" name="ТУ" tableColumnId="11"/>
      <queryTableField id="19" name="Соответствие по" tableColumnId="12"/>
      <queryTableField id="20" name="Участок" tableColumnId="13"/>
      <queryTableField id="21" name="Номер партии" tableColumnId="14"/>
      <queryTableField id="22" name="Привязка" tableColumnId="15"/>
      <queryTableField id="23" name="Создать АВК" tableColumnId="16"/>
      <queryTableField id="24" name="АОРПИ" tableColumnId="17"/>
    </queryTableFields>
  </queryTableRefresh>
</queryTable>
</file>

<file path=xl/queryTables/queryTable4.xml><?xml version="1.0" encoding="utf-8"?>
<queryTable xmlns="http://schemas.openxmlformats.org/spreadsheetml/2006/main" name="ExternalData_1" backgroundRefresh="0" adjustColumnWidth="0" connectionId="56" autoFormatId="16" applyNumberFormats="0" applyBorderFormats="0" applyFontFormats="0" applyPatternFormats="0" applyAlignmentFormats="0" applyWidthHeightFormats="0">
  <queryTableRefresh nextId="27">
    <queryTableFields count="11">
      <queryTableField id="16" name="1" tableColumnId="10"/>
      <queryTableField id="17" name="2" tableColumnId="11"/>
      <queryTableField id="18" name="3" tableColumnId="12"/>
      <queryTableField id="19" name="4" tableColumnId="13"/>
      <queryTableField id="20" name="5" tableColumnId="14"/>
      <queryTableField id="21" name="6" tableColumnId="15"/>
      <queryTableField id="22" name="7" tableColumnId="16"/>
      <queryTableField id="23" name="8" tableColumnId="17"/>
      <queryTableField id="24" name="9" tableColumnId="18"/>
      <queryTableField id="25" name="10" tableColumnId="19"/>
      <queryTableField id="26" name="11" tableColumnId="20"/>
    </queryTableFields>
  </queryTableRefresh>
</queryTable>
</file>

<file path=xl/queryTables/queryTable5.xml><?xml version="1.0" encoding="utf-8"?>
<queryTable xmlns="http://schemas.openxmlformats.org/spreadsheetml/2006/main" name="ExternalData_2" backgroundRefresh="0" adjustColumnWidth="0" connectionId="57" autoFormatId="16" applyNumberFormats="0" applyBorderFormats="0" applyFontFormats="0" applyPatternFormats="0" applyAlignmentFormats="0" applyWidthHeightFormats="0">
  <queryTableRefresh nextId="21">
    <queryTableFields count="10">
      <queryTableField id="11" name="1" tableColumnId="10"/>
      <queryTableField id="12" name="2" tableColumnId="11"/>
      <queryTableField id="13" name="3" tableColumnId="12"/>
      <queryTableField id="14" name="4" tableColumnId="13"/>
      <queryTableField id="15" name="5" tableColumnId="14"/>
      <queryTableField id="16" name="6" tableColumnId="15"/>
      <queryTableField id="17" name="7" tableColumnId="16"/>
      <queryTableField id="18" name="8" tableColumnId="17"/>
      <queryTableField id="19" name="9" tableColumnId="18"/>
      <queryTableField id="20" name="10" tableColumnId="19"/>
    </queryTableFields>
  </queryTableRefresh>
</queryTable>
</file>

<file path=xl/queryTables/queryTable6.xml><?xml version="1.0" encoding="utf-8"?>
<queryTable xmlns="http://schemas.openxmlformats.org/spreadsheetml/2006/main" name="ExternalData_2" backgroundRefresh="0" preserveFormatting="0" adjustColumnWidth="0" connectionId="34" autoFormatId="16" applyNumberFormats="0" applyBorderFormats="0" applyFontFormats="0" applyPatternFormats="0" applyAlignmentFormats="0" applyWidthHeightFormats="0">
  <queryTableRefresh nextId="6">
    <queryTableFields count="5">
      <queryTableField id="1" name="Индекс" tableColumnId="1"/>
      <queryTableField id="2" name="Название" tableColumnId="2"/>
      <queryTableField id="3" name="Номер" tableColumnId="3"/>
      <queryTableField id="4" name="Организация" tableColumnId="4"/>
      <queryTableField id="5" name="Число листов" tableColumnId="5"/>
    </queryTableFields>
  </queryTableRefresh>
</queryTable>
</file>

<file path=xl/queryTables/queryTable7.xml><?xml version="1.0" encoding="utf-8"?>
<queryTable xmlns="http://schemas.openxmlformats.org/spreadsheetml/2006/main" name="ExternalData_1" backgroundRefresh="0" preserveFormatting="0" connectionId="35" autoFormatId="16" applyNumberFormats="0" applyBorderFormats="0" applyFontFormats="0" applyPatternFormats="0" applyAlignmentFormats="0" applyWidthHeightFormats="0">
  <queryTableRefresh nextId="6">
    <queryTableFields count="5">
      <queryTableField id="1" name="Индекс" tableColumnId="1"/>
      <queryTableField id="2" name="Название" tableColumnId="2"/>
      <queryTableField id="3" name="Номер" tableColumnId="3"/>
      <queryTableField id="4" name="Организация" tableColumnId="4"/>
      <queryTableField id="5" name="Число листов" tableColumnId="5"/>
    </queryTableFields>
  </queryTableRefresh>
</queryTable>
</file>

<file path=xl/queryTables/queryTable8.xml><?xml version="1.0" encoding="utf-8"?>
<queryTable xmlns="http://schemas.openxmlformats.org/spreadsheetml/2006/main" name="ExternalData_2" backgroundRefresh="0" adjustColumnWidth="0" connectionId="20" autoFormatId="16" applyNumberFormats="0" applyBorderFormats="0" applyFontFormats="0" applyPatternFormats="0" applyAlignmentFormats="0" applyWidthHeightFormats="0">
  <queryTableRefresh nextId="26">
    <queryTableFields count="12">
      <queryTableField id="1" name="id" tableColumnId="1"/>
      <queryTableField id="2" name="Мат_серт" tableColumnId="2"/>
      <queryTableField id="24" name="Мат_серт_перенос" tableColumnId="11"/>
      <queryTableField id="12" name="Материалы" tableColumnId="10"/>
      <queryTableField id="3" name="Сертификаты" tableColumnId="3"/>
      <queryTableField id="6" name="Сертификаты перенос" tableColumnId="6"/>
      <queryTableField id="14" name="Исп.схемы" tableColumnId="4"/>
      <queryTableField id="15" name="Исп.схемы перенос" tableColumnId="7"/>
      <queryTableField id="5" name="Протоколы" tableColumnId="5"/>
      <queryTableField id="8" name="Протоколы перенос" tableColumnId="8"/>
      <queryTableField id="20" name="п2" tableColumnId="12"/>
      <queryTableField id="21" name="п6" tableColumnId="13"/>
    </queryTableFields>
  </queryTableRefresh>
</queryTable>
</file>

<file path=xl/queryTables/queryTable9.xml><?xml version="1.0" encoding="utf-8"?>
<queryTable xmlns="http://schemas.openxmlformats.org/spreadsheetml/2006/main" name="ExternalData_1" backgroundRefresh="0" adjustColumnWidth="0" connectionId="10" autoFormatId="16" applyNumberFormats="0" applyBorderFormats="0" applyFontFormats="0" applyPatternFormats="0" applyAlignmentFormats="0" applyWidthHeightFormats="0">
  <queryTableRefresh nextId="28">
    <queryTableFields count="16">
      <queryTableField id="1" name="id" tableColumnId="1"/>
      <queryTableField id="2" name="Тип" tableColumnId="2"/>
      <queryTableField id="3" name="Материалы АОСР" tableColumnId="3"/>
      <queryTableField id="26" name="Материалы_без_серт" tableColumnId="16"/>
      <queryTableField id="24" name="Число материалов" tableColumnId="15"/>
      <queryTableField id="18" name="Число протоколов АОСР" tableColumnId="4"/>
      <queryTableField id="9" name="Протоколы_АОСР" tableColumnId="9"/>
      <queryTableField id="19" name="Число схем" tableColumnId="7"/>
      <queryTableField id="5" name="Схемы" tableColumnId="5"/>
      <queryTableField id="6" name="Проект" tableColumnId="6"/>
      <queryTableField id="14" name="Начало" tableColumnId="13"/>
      <queryTableField id="15" name="Окончание" tableColumnId="14"/>
      <queryTableField id="8" name="Акты" tableColumnId="8"/>
      <queryTableField id="20" name="Число протоколов АООК" tableColumnId="11"/>
      <queryTableField id="10" name="Протоколы_АООК" tableColumnId="10"/>
      <queryTableField id="13" name="СНИП" tableColumnId="12"/>
    </queryTableFields>
  </queryTableRefresh>
</queryTable>
</file>

<file path=xl/queryTables/queryTable10.xml><?xml version="1.0" encoding="utf-8"?>
<queryTable xmlns="http://schemas.openxmlformats.org/spreadsheetml/2006/main" name="ExternalData_1" backgroundRefresh="0" connectionId="44" autoFormatId="16" applyNumberFormats="0" applyBorderFormats="0" applyFontFormats="0" applyPatternFormats="0" applyAlignmentFormats="0" applyWidthHeightFormats="0">
  <queryTableRefresh nextId="64">
    <queryTableFields count="41">
      <queryTableField id="1" name="id материала" tableColumnId="1"/>
      <queryTableField id="2" name="Категория" tableColumnId="2"/>
      <queryTableField id="3" name="Название материала" tableColumnId="3"/>
      <queryTableField id="4" name="Дата поступления" tableColumnId="4"/>
      <queryTableField id="20" name="Объём" tableColumnId="12"/>
      <queryTableField id="14" name="Ед. изм." tableColumnId="6"/>
      <queryTableField id="15" name="Тип документа" tableColumnId="7"/>
      <queryTableField id="16" name="Номер документа" tableColumnId="8"/>
      <queryTableField id="17" name="Дата документа" tableColumnId="9"/>
      <queryTableField id="40" name="Создать АВК" tableColumnId="20"/>
      <queryTableField id="18" name="Число листов" tableColumnId="10"/>
      <queryTableField id="36" name="Номер АВК" tableColumnId="18"/>
      <queryTableField id="19" name="Организация" tableColumnId="11"/>
      <queryTableField id="38" name="Необходимость контроля" tableColumnId="19"/>
      <queryTableField id="27" name="Номер вагона (автомашины)" tableColumnId="15"/>
      <queryTableField id="23" name="Дата изготовления" tableColumnId="13"/>
      <queryTableField id="30" name="Место отбора образца" tableColumnId="16"/>
      <queryTableField id="31" name="Дата отбора образца" tableColumnId="17"/>
      <queryTableField id="24" name="Вид упаковки" tableColumnId="14"/>
      <queryTableField id="22" name="Шифр РД" tableColumnId="5"/>
      <queryTableField id="41" name="Дата АВК" tableColumnId="21"/>
      <queryTableField id="42" name="Участок" tableColumnId="22"/>
      <queryTableField id="43" name="Технические нормы соответствия (ГОСТ, ТУ)" tableColumnId="23"/>
      <queryTableField id="44" name="Завод изготовитель" tableColumnId="24"/>
      <queryTableField id="45" name="Вид осмотра" tableColumnId="25"/>
      <queryTableField id="46" name="Геометрические размеры" tableColumnId="26"/>
      <queryTableField id="47" name="Поставщик (Заказчик, подрядчик)" tableColumnId="27"/>
      <queryTableField id="48" name="Заводской номер, номер партии" tableColumnId="28"/>
      <queryTableField id="49" name="Привязка (оси, координаты)" tableColumnId="29"/>
      <queryTableField id="50" name="Номер и дата протокола испытания при необходимости" tableColumnId="30"/>
      <queryTableField id="51" name="Описание несоответствия" tableColumnId="31"/>
      <queryTableField id="52" name="Характеристики мех. свойств" tableColumnId="32"/>
      <queryTableField id="53" name="Меры, предпринятые по устранению несоответствующей продукции" tableColumnId="33"/>
      <queryTableField id="54" name="Отметка об устранении несоответствия (результат, дата)" tableColumnId="34"/>
      <queryTableField id="55" name="Индекс категории пригодности" tableColumnId="35"/>
      <queryTableField id="56" name="№ чертежа,  проекта" tableColumnId="36"/>
      <queryTableField id="57" name="Фамилия, инициалы, подпись ответственного за проведение входного контроля" tableColumnId="37"/>
      <queryTableField id="58" name="Примечание" tableColumnId="38"/>
      <queryTableField id="60" name="ИндексДляАВК" tableColumnId="39"/>
      <queryTableField id="62" name="ЭтоАВК" tableColumnId="41"/>
      <queryTableField id="61" name="ИндексДляРеестра" tableColumnId="40"/>
    </queryTableFields>
  </queryTableRefresh>
</queryTable>
</file>

<file path=xl/queryTables/queryTable11.xml><?xml version="1.0" encoding="utf-8"?>
<queryTable xmlns="http://schemas.openxmlformats.org/spreadsheetml/2006/main" name="ExternalData_2" backgroundRefresh="0" connectionId="45" autoFormatId="16" applyNumberFormats="0" applyBorderFormats="0" applyFontFormats="0" applyPatternFormats="0" applyAlignmentFormats="0" applyWidthHeightFormats="0">
  <queryTableRefresh nextId="3">
    <queryTableFields count="2">
      <queryTableField id="1" name="Категория" tableColumnId="1"/>
      <queryTableField id="2" name="количество" tableColumnId="2"/>
    </queryTableFields>
  </queryTableRefresh>
</queryTable>
</file>

<file path=xl/queryTables/queryTable12.xml><?xml version="1.0" encoding="utf-8"?>
<queryTable xmlns="http://schemas.openxmlformats.org/spreadsheetml/2006/main" name="ExternalData_3" backgroundRefresh="0" connectionId="46" autoFormatId="16" applyNumberFormats="0" applyBorderFormats="0" applyFontFormats="0" applyPatternFormats="0" applyAlignmentFormats="0" applyWidthHeightFormats="0">
  <queryTableRefresh nextId="6">
    <queryTableFields count="3">
      <queryTableField id="2" name="Название материала" tableColumnId="2"/>
      <queryTableField id="3" name="Количество" tableColumnId="3"/>
      <queryTableField id="1" name="Категория" tableColumnId="1"/>
    </queryTableFields>
  </queryTableRefresh>
</queryTable>
</file>

<file path=xl/queryTables/queryTable13.xml><?xml version="1.0" encoding="utf-8"?>
<queryTable xmlns="http://schemas.openxmlformats.org/spreadsheetml/2006/main" name="ExternalData_1" backgroundRefresh="0" adjustColumnWidth="0" connectionId="24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2" name="Индекс" tableColumnId="2"/>
      <queryTableField id="3" name="Название материала" tableColumnId="3"/>
      <queryTableField id="4" name="Документ" tableColumnId="4"/>
      <queryTableField id="5" name="Дата документа" tableColumnId="5"/>
      <queryTableField id="7" name="Число листов" tableColumnId="6"/>
    </queryTableFields>
  </queryTableRefresh>
</queryTable>
</file>

<file path=xl/queryTables/queryTable14.xml><?xml version="1.0" encoding="utf-8"?>
<queryTable xmlns="http://schemas.openxmlformats.org/spreadsheetml/2006/main" name="ExternalData_2" backgroundRefresh="0" adjustColumnWidth="0" connectionId="27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7" name="№ п/п" tableColumnId="7"/>
      <queryTableField id="2" name="Тип документа" tableColumnId="2"/>
      <queryTableField id="3" name="Название документа" tableColumnId="3"/>
      <queryTableField id="4" name="Дата" tableColumnId="4"/>
      <queryTableField id="5" name="Число листов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id="27" name="лицензия" displayName="лицензия" ref="B4:C5" totalsRowShown="0" headerRowDxfId="334">
  <autoFilter ref="B4:C5">
    <filterColumn colId="0" hiddenButton="1"/>
    <filterColumn colId="1" hiddenButton="1"/>
  </autoFilter>
  <tableColumns count="2">
    <tableColumn id="1" name="Код рабочего места" dataDxfId="333"/>
    <tableColumn id="2" name="Статус лицензии" dataDxfId="332"/>
  </tableColumns>
  <tableStyleInfo name="TableStyleLight1 2" showFirstColumn="0" showLastColumn="0" showRowStripes="0" showColumnStripes="0"/>
</table>
</file>

<file path=xl/tables/table2.xml><?xml version="1.0" encoding="utf-8"?>
<table xmlns="http://schemas.openxmlformats.org/spreadsheetml/2006/main" id="2" name="т_Люди" displayName="т_Люди" ref="A2:K22" totalsRowShown="0" headerRowDxfId="331">
  <autoFilter ref="A2:K22"/>
  <tableColumns count="11">
    <tableColumn id="1" name="id" dataDxfId="330"/>
    <tableColumn id="2" name="Представитель" dataDxfId="329"/>
    <tableColumn id="3" name="ФИО" dataDxfId="328"/>
    <tableColumn id="4" name="Должность" dataDxfId="327"/>
    <tableColumn id="5" name="Организация" dataDxfId="326"/>
    <tableColumn id="6" name="Реквизиты распорядительного документа" dataDxfId="325"/>
    <tableColumn id="7" name="Идентификационный номер специалиста в НРС и дата" dataDxfId="324"/>
    <tableColumn id="8" name="Дата начала работы" dataDxfId="323"/>
    <tableColumn id="9" name="Дата окончания работы" dataDxfId="322"/>
    <tableColumn id="10" name="Включать реквизиты организации" dataDxfId="321"/>
    <tableColumn id="11" name="Реквизиты организации" dataDxfId="320"/>
  </tableColumns>
  <tableStyleInfo name="TableStyleLight1 2" showFirstColumn="0" showLastColumn="0" showRowStripes="0" showColumnStripes="1"/>
</table>
</file>

<file path=xl/tables/table3.xml><?xml version="1.0" encoding="utf-8"?>
<table xmlns="http://schemas.openxmlformats.org/spreadsheetml/2006/main" id="38" name="ГрафикИтог" displayName="ГрафикИтог" ref="A1:K2" tableType="queryTable" insertRow="1" totalsRowShown="0">
  <autoFilter ref="A1:K2"/>
  <tableColumns count="11">
    <tableColumn id="1" uniqueName="1" name="Item" queryTableFieldId="1"/>
    <tableColumn id="2" uniqueName="2" name="Статус" queryTableFieldId="2"/>
    <tableColumn id="3" uniqueName="3" name="1" queryTableFieldId="3"/>
    <tableColumn id="4" uniqueName="4" name="2" queryTableFieldId="4"/>
    <tableColumn id="5" uniqueName="5" name="Объем" queryTableFieldId="5"/>
    <tableColumn id="6" uniqueName="6" name="Ед. изм." queryTableFieldId="6"/>
    <tableColumn id="7" uniqueName="7" name="Начало" queryTableFieldId="7" dataDxfId="319"/>
    <tableColumn id="8" uniqueName="8" name="Окончание" queryTableFieldId="8" dataDxfId="318"/>
    <tableColumn id="9" uniqueName="9" name="id" queryTableFieldId="9"/>
    <tableColumn id="10" uniqueName="10" name="id_уникальный" queryTableFieldId="10"/>
    <tableColumn id="11" uniqueName="11" name="Тип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15" name="qМаска" displayName="qМаска" ref="B6:N7" totalsRowShown="0" headerRowDxfId="315" headerRowBorderDxfId="314" tableBorderDxfId="313" totalsRowBorderDxfId="312">
  <autoFilter ref="B6:N7"/>
  <tableColumns count="13">
    <tableColumn id="1" name="Столбец1" dataDxfId="311"/>
    <tableColumn id="2" name="Столбец2" dataDxfId="310"/>
    <tableColumn id="3" name="Столбец3" dataDxfId="309"/>
    <tableColumn id="4" name="Столбец4" dataDxfId="308"/>
    <tableColumn id="5" name="Столбец5" dataDxfId="307"/>
    <tableColumn id="6" name="Столбец6" dataDxfId="306"/>
    <tableColumn id="7" name="Столбец7" dataDxfId="305"/>
    <tableColumn id="8" name="Столбец8" dataDxfId="304"/>
    <tableColumn id="9" name="Столбец9" dataDxfId="303"/>
    <tableColumn id="10" name="Столбец10" dataDxfId="302"/>
    <tableColumn id="11" name="Столбец11" dataDxfId="301"/>
    <tableColumn id="12" name="Столбец12" dataDxfId="300"/>
    <tableColumn id="13" name="Столбец13" dataDxfId="29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0" name="т_ПорядокПоАктам" displayName="т_ПорядокПоАктам" ref="C82:C85" totalsRowShown="0" headerRowDxfId="298">
  <autoFilter ref="C82:C85"/>
  <tableColumns count="1">
    <tableColumn id="2" name="Тип документа"/>
  </tableColumns>
  <tableStyleInfo name="TableStyleLight1 2" showFirstColumn="0" showLastColumn="0" showRowStripes="1" showColumnStripes="1"/>
</table>
</file>

<file path=xl/tables/table6.xml><?xml version="1.0" encoding="utf-8"?>
<table xmlns="http://schemas.openxmlformats.org/spreadsheetml/2006/main" id="22" name="т_ШаблоныАктов" displayName="т_ШаблоныАктов" ref="B110:C123" totalsRowShown="0">
  <autoFilter ref="B110:C123"/>
  <tableColumns count="2">
    <tableColumn id="1" name="Шифр"/>
    <tableColumn id="2" name="Название акта"/>
  </tableColumns>
  <tableStyleInfo name="TableStyleLight1 2" showFirstColumn="0" showLastColumn="0" showRowStripes="1" showColumnStripes="0"/>
</table>
</file>

<file path=xl/tables/table7.xml><?xml version="1.0" encoding="utf-8"?>
<table xmlns="http://schemas.openxmlformats.org/spreadsheetml/2006/main" id="36" name="тГрафик" displayName="тГрафик" ref="B16:C19" totalsRowShown="0">
  <autoFilter ref="B16:C19"/>
  <tableColumns count="2">
    <tableColumn id="2" name="Название"/>
    <tableColumn id="1" name="Адрес графиков"/>
  </tableColumns>
  <tableStyleInfo name="TableStyleLight1 2" showFirstColumn="0" showLastColumn="0" showRowStripes="1" showColumnStripes="1"/>
</table>
</file>

<file path=xl/tables/table8.xml><?xml version="1.0" encoding="utf-8"?>
<table xmlns="http://schemas.openxmlformats.org/spreadsheetml/2006/main" id="39" name="т_ПорядокВРеестре" displayName="т_ПорядокВРеестре" ref="C88:C92" totalsRowShown="0" headerRowDxfId="297">
  <autoFilter ref="C88:C92"/>
  <tableColumns count="1">
    <tableColumn id="2" name="Тип документа"/>
  </tableColumns>
  <tableStyleInfo name="TableStyleLight1 2" showFirstColumn="0" showLastColumn="0" showRowStripes="1" showColumnStripes="1"/>
</table>
</file>

<file path=xl/tables/table9.xml><?xml version="1.0" encoding="utf-8"?>
<table xmlns="http://schemas.openxmlformats.org/spreadsheetml/2006/main" id="1" name="т_База_актов" displayName="т_База_актов" ref="A2:AP6" totalsRowShown="0" headerRowDxfId="294" dataDxfId="293">
  <autoFilter ref="A2:AP6"/>
  <sortState ref="A3:AP3">
    <sortCondition ref="A2:A3"/>
  </sortState>
  <tableColumns count="42">
    <tableColumn id="1" name="id" dataDxfId="292"/>
    <tableColumn id="2" name="Номер акта" dataDxfId="291"/>
    <tableColumn id="3" name="Тип" dataDxfId="290"/>
    <tableColumn id="4" name="Суффикс акта" dataDxfId="289"/>
    <tableColumn id="42" name="id графика" dataDxfId="288"/>
    <tableColumn id="5" name="Наименование работ" dataDxfId="287"/>
    <tableColumn id="41" name="Условия производства работ" dataDxfId="286"/>
    <tableColumn id="6" name="Объём" dataDxfId="285"/>
    <tableColumn id="7" name="Ед.изм." dataDxfId="284"/>
    <tableColumn id="8" name="Уровень1" dataDxfId="283"/>
    <tableColumn id="9" name="Уровень2" dataDxfId="282"/>
    <tableColumn id="10" name="Уровень3" dataDxfId="281"/>
    <tableColumn id="13" name="Отм." dataDxfId="280"/>
    <tableColumn id="14" name="В осях" dataDxfId="279"/>
    <tableColumn id="40" name="Итоговый номер акта" dataDxfId="278">
      <calculatedColumnFormula>мс1&amp;IF(ISBLANK(мс2),"",INDIRECT("т_База_актов[@"&amp;мс2&amp;"]"))&amp;мс3&amp;IF(ISBLANK(мс4),"",INDIRECT("т_База_актов[@"&amp;мс4&amp;"]"))&amp;мс5&amp;IF(ISBLANK(мс6),"",INDIRECT("т_База_актов[@"&amp;мс6&amp;"]"))&amp;мс7&amp;IF(ISBLANK(мс8),"",INDIRECT("т_База_актов[@"&amp;мс8&amp;"]"))&amp;мс9&amp;IF(ISBLANK(мс10),"",INDIRECT("т_База_актов[@"&amp;мс10&amp;"]"))&amp;мс11&amp;IF(ISBLANK(мс12),"",INDIRECT("т_База_актов[@"&amp;мс12&amp;"]"))&amp;мс13</calculatedColumnFormula>
    </tableColumn>
    <tableColumn id="20" name="Автоназвание работ" dataDxfId="277">
      <calculatedColumnFormula>TRIM(т_База_актов[[#This Row],[Наименование работ]]&amp;" "&amp;т_База_актов[[#This Row],[Уровень1]]&amp;" "&amp;т_База_актов[[#This Row],[Уровень2]]&amp;" "&amp;т_База_актов[[#This Row],[Уровень3]]&amp;" "&amp;т_База_актов[[#This Row],[Отм.]]&amp;" "&amp;т_База_актов[[#This Row],[В осях]]&amp;" "&amp;IF(ISBLANK(т_База_актов[[#This Row],[Объём]]),""," ("&amp;т_База_актов[[#This Row],[Объём]]&amp;" "&amp;т_База_актов[[#This Row],[Ед.изм.]]&amp;")"))</calculatedColumnFormula>
    </tableColumn>
    <tableColumn id="21" name="Последующие работы" dataDxfId="276"/>
    <tableColumn id="18" name="ИД" dataDxfId="275"/>
    <tableColumn id="31" name="АООК" dataDxfId="274"/>
    <tableColumn id="19" name="Создать акт" dataDxfId="273"/>
    <tableColumn id="15" name="Дата начала" dataDxfId="272"/>
    <tableColumn id="16" name="Дата окончания" dataDxfId="271"/>
    <tableColumn id="17" name="Дата акта" dataDxfId="270"/>
    <tableColumn id="22" name="СК Заказчика" dataDxfId="269"/>
    <tableColumn id="23" name="Генподрядчик" dataDxfId="268"/>
    <tableColumn id="24" name="СК Генподрядчика" dataDxfId="267"/>
    <tableColumn id="25" name="Подрядчик" dataDxfId="266"/>
    <tableColumn id="26" name="Авторский надзор" dataDxfId="265"/>
    <tableColumn id="27" name="Иное лицо 1" dataDxfId="264"/>
    <tableColumn id="28" name="Иное лицо 2" dataDxfId="263"/>
    <tableColumn id="29" name="Иное лицо 3" dataDxfId="262"/>
    <tableColumn id="30" name="Материалы" dataDxfId="261"/>
    <tableColumn id="32" name="Исполнительные схемы" dataDxfId="260"/>
    <tableColumn id="33" name="Проектная / рабочая документация" dataDxfId="259"/>
    <tableColumn id="12" name="Выполнено в соответствии с" dataDxfId="258"/>
    <tableColumn id="34" name="Результаты экспертиз, обследований, лабораторных и иных испытаний" dataDxfId="257"/>
    <tableColumn id="39" name="Приложения (вручную)" dataDxfId="256"/>
    <tableColumn id="37" name="Кол-во экз." dataDxfId="255"/>
    <tableColumn id="11" name="Дополнительные сведения" dataDxfId="254"/>
    <tableColumn id="38" name="использование по назначению" dataDxfId="253"/>
    <tableColumn id="35" name="% нагрузки от проектной" dataDxfId="252"/>
    <tableColumn id="36" name="условия полного нагружения" dataDxfId="251"/>
  </tableColumns>
  <tableStyleInfo name="TableStyleLight1 2" showFirstColumn="0" showLastColumn="0" showRowStripes="1" showColumnStripes="1"/>
</table>
</file>

<file path=xl/tables/table10.xml><?xml version="1.0" encoding="utf-8"?>
<table xmlns="http://schemas.openxmlformats.org/spreadsheetml/2006/main" id="3" name="т_Материалы" displayName="т_Материалы" ref="A3:AL16" headerRowDxfId="249" dataDxfId="248">
  <autoFilter ref="A3:AL16"/>
  <sortState ref="A4:P4">
    <sortCondition ref="A3:A4"/>
  </sortState>
  <tableColumns count="38">
    <tableColumn id="1" name="id материала" totalsRowLabel="Итог" dataDxfId="247" dataCellStyle="Гиперссылка"/>
    <tableColumn id="2" name="Категория" dataDxfId="246"/>
    <tableColumn id="3" name="Название материала" dataDxfId="245"/>
    <tableColumn id="10" name="Дата поступления" dataDxfId="244"/>
    <tableColumn id="9" name="Объём" dataDxfId="243"/>
    <tableColumn id="11" name="Ед. изм." dataDxfId="242"/>
    <tableColumn id="4" name="Тип документа" dataDxfId="241"/>
    <tableColumn id="5" name="Номер документа" dataDxfId="240"/>
    <tableColumn id="6" name="Дата документа" dataDxfId="239"/>
    <tableColumn id="7" name="Создать АВК" dataDxfId="238"/>
    <tableColumn id="19" name="Число листов" dataDxfId="237"/>
    <tableColumn id="8" name="Номер АВК" totalsRowFunction="count" dataDxfId="236">
      <calculatedColumnFormula>т_Материалы[[#This Row],[id материала]]</calculatedColumnFormula>
    </tableColumn>
    <tableColumn id="18" name="Организация" dataDxfId="235"/>
    <tableColumn id="15" name="Необходимость контроля" dataDxfId="234"/>
    <tableColumn id="14" name="Номер вагона (автомашины)" dataDxfId="233"/>
    <tableColumn id="16" name="Дата изготовления" dataDxfId="232"/>
    <tableColumn id="17" name="Место отбора образца" dataDxfId="231"/>
    <tableColumn id="13" name="Дата отбора образца" dataDxfId="230"/>
    <tableColumn id="12" name="Вид упаковки" dataDxfId="229"/>
    <tableColumn id="20" name="Шифр РД" dataDxfId="228"/>
    <tableColumn id="22" name="Дата АВК" dataDxfId="227"/>
    <tableColumn id="23" name="Участок" dataDxfId="226"/>
    <tableColumn id="24" name="Технические нормы соответствия (ГОСТ, ТУ)" dataDxfId="225"/>
    <tableColumn id="25" name="Завод изготовитель" dataDxfId="224"/>
    <tableColumn id="26" name="Вид осмотра" dataDxfId="223"/>
    <tableColumn id="27" name="Геометрические размеры" dataDxfId="222"/>
    <tableColumn id="28" name="Поставщик (Заказчик, подрядчик)" dataDxfId="221"/>
    <tableColumn id="29" name="Заводской номер, номер партии" dataDxfId="220"/>
    <tableColumn id="30" name="Привязка (оси, координаты)" dataDxfId="219"/>
    <tableColumn id="31" name="Номер и дата протокола испытания при необходимости" dataDxfId="218"/>
    <tableColumn id="32" name="Описание несоответствия" dataDxfId="217"/>
    <tableColumn id="33" name="Характеристики мех. свойств" dataDxfId="216"/>
    <tableColumn id="34" name="Меры, предпринятые по устранению несоответствующей продукции" dataDxfId="215"/>
    <tableColumn id="35" name="Отметка об устранении несоответствия (результат, дата)" dataDxfId="214"/>
    <tableColumn id="36" name="Индекс категории пригодности" dataDxfId="213"/>
    <tableColumn id="37" name="№ чертежа,  проекта" dataDxfId="212"/>
    <tableColumn id="38" name="Фамилия, инициалы, подпись ответственного за проведение входного контроля" dataDxfId="211"/>
    <tableColumn id="39" name="Примечание" dataDxfId="210"/>
  </tableColumns>
  <tableStyleInfo name="Материалы" showFirstColumn="0" showLastColumn="0" showRowStripes="0" showColumnStripes="1"/>
</table>
</file>

<file path=xl/tables/table11.xml><?xml version="1.0" encoding="utf-8"?>
<table xmlns="http://schemas.openxmlformats.org/spreadsheetml/2006/main" id="8" name="т_Схемы" displayName="т_Схемы" ref="A2:G6" totalsRowShown="0" headerRowDxfId="209">
  <autoFilter ref="A2:G6"/>
  <tableColumns count="7">
    <tableColumn id="1" name="id" dataCellStyle="Гиперссылка"/>
    <tableColumn id="2" name="Тип документа"/>
    <tableColumn id="3" name="№ документа" dataDxfId="208"/>
    <tableColumn id="4" name="Название документа" dataDxfId="207"/>
    <tableColumn id="5" name="Дата" dataDxfId="206"/>
    <tableColumn id="6" name="Число листов" dataDxfId="205"/>
    <tableColumn id="8" name="Организация"/>
  </tableColumns>
  <tableStyleInfo name="TableStyleLight1 2" showFirstColumn="0" showLastColumn="0" showRowStripes="1" showColumnStripes="1"/>
</table>
</file>

<file path=xl/tables/table12.xml><?xml version="1.0" encoding="utf-8"?>
<table xmlns="http://schemas.openxmlformats.org/spreadsheetml/2006/main" id="10" name="т_Протоколы" displayName="т_Протоколы" ref="A2:G7" totalsRowShown="0" headerRowDxfId="204">
  <autoFilter ref="A2:G7"/>
  <tableColumns count="7">
    <tableColumn id="1" name="id" dataCellStyle="Гиперссылка"/>
    <tableColumn id="2" name="Тип документа"/>
    <tableColumn id="3" name="№ документа" dataDxfId="203"/>
    <tableColumn id="4" name="Название документа (локация)" dataDxfId="202"/>
    <tableColumn id="5" name="Дата" dataDxfId="201"/>
    <tableColumn id="8" name="Организация"/>
    <tableColumn id="6" name="Число листов" dataDxfId="200"/>
  </tableColumns>
  <tableStyleInfo name="TableStyleLight1 2" showFirstColumn="0" showLastColumn="0" showRowStripes="1" showColumnStripes="1"/>
</table>
</file>

<file path=xl/tables/table13.xml><?xml version="1.0" encoding="utf-8"?>
<table xmlns="http://schemas.openxmlformats.org/spreadsheetml/2006/main" id="37" name="т_РД" displayName="т_РД" ref="A2:D14" totalsRowShown="0" headerRowDxfId="199">
  <autoFilter ref="A2:D14"/>
  <tableColumns count="4">
    <tableColumn id="1" name="id" dataDxfId="198"/>
    <tableColumn id="2" name="Шифр и название раздела" dataDxfId="197"/>
    <tableColumn id="3" name="Номера листов" dataDxfId="196"/>
    <tableColumn id="8" name="Организация, ГИП"/>
  </tableColumns>
  <tableStyleInfo name="TableStyleLight1 2" showFirstColumn="0" showLastColumn="0" showRowStripes="1" showColumnStripes="1"/>
</table>
</file>

<file path=xl/tables/table14.xml><?xml version="1.0" encoding="utf-8"?>
<table xmlns="http://schemas.openxmlformats.org/spreadsheetml/2006/main" id="18" name="тИД" displayName="тИД" ref="A4:C14" totalsRowShown="0">
  <autoFilter ref="A4:C14"/>
  <tableColumns count="3">
    <tableColumn id="1" name="id" dataDxfId="195"/>
    <tableColumn id="2" name="Название комплекта ИД"/>
    <tableColumn id="3" name="Номер комплекта" dataDxfId="194"/>
  </tableColumns>
  <tableStyleInfo name="TableStyleLight1 2" showFirstColumn="0" showLastColumn="0" showRowStripes="1" showColumnStripes="1"/>
</table>
</file>

<file path=xl/tables/table15.xml><?xml version="1.0" encoding="utf-8"?>
<table xmlns="http://schemas.openxmlformats.org/spreadsheetml/2006/main" id="19" name="тНомерИД" displayName="тНомерИД" ref="C1:C2" totalsRowShown="0" dataDxfId="193">
  <autoFilter ref="C1:C2"/>
  <tableColumns count="1">
    <tableColumn id="1" name="ИД" dataDxfId="192"/>
  </tableColumns>
  <tableStyleInfo name="TableStyleLight16" showFirstColumn="0" showLastColumn="0" showRowStripes="0" showColumnStripes="0"/>
</table>
</file>

<file path=xl/tables/table16.xml><?xml version="1.0" encoding="utf-8"?>
<table xmlns="http://schemas.openxmlformats.org/spreadsheetml/2006/main" id="29" name="Шаблон" displayName="Шаблон" ref="A3:L13">
  <autoFilter ref="A3:L13"/>
  <tableColumns count="12">
    <tableColumn id="1" name="id" totalsRowLabel="Итог"/>
    <tableColumn id="2" name="Название_работ"/>
    <tableColumn id="5" name="Дата_акта" dataDxfId="191"/>
    <tableColumn id="3" name="Поле1" dataDxfId="190" totalsRowDxfId="189"/>
    <tableColumn id="4" name="Поле2" totalsRowFunction="count"/>
    <tableColumn id="6" name="Поле3"/>
    <tableColumn id="7" name="Поле4"/>
    <tableColumn id="8" name="Поле5"/>
    <tableColumn id="9" name="Поле6"/>
    <tableColumn id="10" name="Поле7"/>
    <tableColumn id="11" name="Поле8"/>
    <tableColumn id="12" name="Поле9"/>
  </tableColumns>
  <tableStyleInfo name="TableStyleLight1 2" showFirstColumn="0" showLastColumn="0" showRowStripes="1" showColumnStripes="1"/>
</table>
</file>

<file path=xl/tables/table17.xml><?xml version="1.0" encoding="utf-8"?>
<table xmlns="http://schemas.openxmlformats.org/spreadsheetml/2006/main" id="30" name="допакт_Пролив" displayName="допакт_Пролив" ref="A3:P6">
  <autoFilter ref="A3:P6"/>
  <tableColumns count="16">
    <tableColumn id="1" name="id" totalsRowLabel="Итог" dataDxfId="188"/>
    <tableColumn id="2" name="Название_работ" dataDxfId="187"/>
    <tableColumn id="5" name="Дата_акта" dataDxfId="186"/>
    <tableColumn id="3" name="Наименование_объекта" dataDxfId="185" totalsRowDxfId="184"/>
    <tableColumn id="4" name="город" totalsRowFunction="count" dataDxfId="183">
      <calculatedColumnFormula>"Москва"</calculatedColumnFormula>
    </tableColumn>
    <tableColumn id="9" name="Должность_ФИО_Застройщика" dataDxfId="182"/>
    <tableColumn id="10" name="Должность_ФИО_Генподрядчика" dataDxfId="181"/>
    <tableColumn id="11" name="Должность_ФИО_Подрядчика"/>
    <tableColumn id="12" name="Юрлицо_Подрядчика"/>
    <tableColumn id="14" name="Юрлицо_Проектировщика"/>
    <tableColumn id="13" name="Наименование_Чертежей" dataDxfId="180"/>
    <tableColumn id="15" name="Число_приборов" dataDxfId="179"/>
    <tableColumn id="16" name="Минут_пролива" dataDxfId="178"/>
    <tableColumn id="6" name="день_а" dataDxfId="177">
      <calculatedColumnFormula>IF(допакт_Пролив[[#This Row],[Дата_акта]]="","",DAY(допакт_Пролив[[#This Row],[Дата_акта]]))</calculatedColumnFormula>
    </tableColumn>
    <tableColumn id="7" name="месяц_а" dataDxfId="176">
      <calculatedColumnFormula>IF(допакт_Пролив[[#This Row],[Дата_акта]]="","",CHOOSE(MONTH(допакт_Пролив[[#This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175">
      <calculatedColumnFormula>IF(допакт_Пролив[[#This Row],[Дата_акта]]="","",YEAR(допакт_Пролив[[#This Row],[Дата_акта]]))</calculatedColumnFormula>
    </tableColumn>
  </tableColumns>
  <tableStyleInfo name="TableStyleLight1 2" showFirstColumn="0" showLastColumn="0" showRowStripes="1" showColumnStripes="1"/>
</table>
</file>

<file path=xl/tables/table18.xml><?xml version="1.0" encoding="utf-8"?>
<table xmlns="http://schemas.openxmlformats.org/spreadsheetml/2006/main" id="31" name="допакт_АГИ" displayName="допакт_АГИ" ref="A3:S8">
  <autoFilter ref="A3:S8"/>
  <tableColumns count="19">
    <tableColumn id="1" name="id" totalsRowLabel="Итог" dataDxfId="174"/>
    <tableColumn id="2" name="Название_работ" dataDxfId="173"/>
    <tableColumn id="5" name="Дата_акта" dataDxfId="172"/>
    <tableColumn id="3" name="Наименование_объекта" dataDxfId="171" totalsRowDxfId="170"/>
    <tableColumn id="4" name="город" totalsRowFunction="count" dataDxfId="169">
      <calculatedColumnFormula>"Москва"</calculatedColumnFormula>
    </tableColumn>
    <tableColumn id="9" name="Должность_ФИО_Застройщика" dataDxfId="168"/>
    <tableColumn id="10" name="Должность_ФИО_Генподрядчика" dataDxfId="167"/>
    <tableColumn id="11" name="Должность_ФИО_Подрядчика"/>
    <tableColumn id="14" name="Юрлицо_Проектировщика"/>
    <tableColumn id="13" name="Наименование_Чертежей"/>
    <tableColumn id="15" name="Метод_испытаний"/>
    <tableColumn id="16" name="Давление_МПА"/>
    <tableColumn id="19" name="Время_мин"/>
    <tableColumn id="17" name="Падение_Мпа"/>
    <tableColumn id="12" name="давление_кг" dataDxfId="166">
      <calculatedColumnFormula>ROUND(допакт_АГИ[[#This Row],[Давление_МПА]]*10.197162,2)</calculatedColumnFormula>
    </tableColumn>
    <tableColumn id="18" name="падение_кг" dataDxfId="165">
      <calculatedColumnFormula>ROUND(допакт_АГИ[[#This Row],[Падение_Мпа]]*10.197162,2)</calculatedColumnFormula>
    </tableColumn>
    <tableColumn id="6" name="день_а" dataDxfId="164">
      <calculatedColumnFormula>IF(допакт_АГИ[[#This Row],[Дата_акта]]="","",DAY(допакт_АГИ[[#This Row],[Дата_акта]]))</calculatedColumnFormula>
    </tableColumn>
    <tableColumn id="7" name="месяц_а" dataDxfId="163">
      <calculatedColumnFormula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162">
      <calculatedColumnFormula>IF(допакт_АГИ[[#This Row],[Дата_акта]]="","",YEAR(допакт_АГИ[[#This Row],[Дата_акта]]))</calculatedColumnFormula>
    </tableColumn>
  </tableColumns>
  <tableStyleInfo name="TableStyleLight1 2" showFirstColumn="0" showLastColumn="0" showRowStripes="1" showColumnStripes="1"/>
</table>
</file>

<file path=xl/tables/table19.xml><?xml version="1.0" encoding="utf-8"?>
<table xmlns="http://schemas.openxmlformats.org/spreadsheetml/2006/main" id="35" name="допакт_АИИО" displayName="допакт_АИИО" ref="A3:N6">
  <autoFilter ref="A3:N6"/>
  <tableColumns count="14">
    <tableColumn id="1" name="id" totalsRowLabel="Итог" dataDxfId="161"/>
    <tableColumn id="2" name="Название_работ" dataDxfId="160"/>
    <tableColumn id="5" name="Дата_акта" dataDxfId="159"/>
    <tableColumn id="3" name="Наименование_объекта" dataDxfId="158" totalsRowDxfId="157"/>
    <tableColumn id="4" name="город" totalsRowFunction="count" dataDxfId="156">
      <calculatedColumnFormula>"Москва"</calculatedColumnFormula>
    </tableColumn>
    <tableColumn id="9" name="Должность_ФИО_Застройщика" dataDxfId="155"/>
    <tableColumn id="10" name="Должность_ФИО_Генподрядчика" dataDxfId="154"/>
    <tableColumn id="11" name="Должность_ФИО_Подрядчика"/>
    <tableColumn id="12" name="Юрлицо_Подрядчика"/>
    <tableColumn id="14" name="Юрлицо_Проектировщика"/>
    <tableColumn id="13" name="Время_обкатки" dataDxfId="153"/>
    <tableColumn id="6" name="день_а" dataDxfId="152">
      <calculatedColumnFormula>IF(допакт_АИИО[[#This Row],[Дата_акта]]="","",DAY(допакт_АИИО[[#This Row],[Дата_акта]]))</calculatedColumnFormula>
    </tableColumn>
    <tableColumn id="7" name="месяц_а" dataDxfId="151">
      <calculatedColumnFormula>IF(допакт_АИИО[[#This Row],[Дата_акта]]="","",CHOOSE(MONTH(допакт_АИИО[[#This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150">
      <calculatedColumnFormula>IF(допакт_АИИО[[#This Row],[Дата_акта]]="","",YEAR(допакт_АИИО[[#This Row],[Дата_акта]]))</calculatedColumnFormula>
    </tableColumn>
  </tableColumns>
  <tableStyleInfo name="TableStyleLight1 2" showFirstColumn="0" showLastColumn="0" showRowStripes="1" showColumnStripes="1"/>
</table>
</file>

<file path=xl/tables/table20.xml><?xml version="1.0" encoding="utf-8"?>
<table xmlns="http://schemas.openxmlformats.org/spreadsheetml/2006/main" id="34" name="допакт_ОтЭфД" displayName="допакт_ОтЭфД" ref="A3:R6">
  <autoFilter ref="A3:R6"/>
  <tableColumns count="18">
    <tableColumn id="1" name="id" totalsRowLabel="Итог" dataDxfId="149"/>
    <tableColumn id="2" name="Название_работ" dataDxfId="148"/>
    <tableColumn id="5" name="Дата_акта" dataDxfId="147"/>
    <tableColumn id="3" name="Наименование_объекта" dataDxfId="146" totalsRowDxfId="145"/>
    <tableColumn id="4" name="город" totalsRowFunction="count" dataDxfId="144">
      <calculatedColumnFormula>"Москва"</calculatedColumnFormula>
    </tableColumn>
    <tableColumn id="9" name="Должность_ФИО_Застройщика" dataDxfId="143"/>
    <tableColumn id="10" name="Должность_ФИО_Генподрядчика" dataDxfId="142"/>
    <tableColumn id="11" name="Должность_ФИО_Подрядчика"/>
    <tableColumn id="12" name="Юрлицо_Подрядчика"/>
    <tableColumn id="14" name="Юрлицо_Проектировщика"/>
    <tableColumn id="13" name="Т_наружного_воздуха" dataDxfId="141"/>
    <tableColumn id="15" name="Т_воды_в_котлах" dataDxfId="140"/>
    <tableColumn id="16" name="Т_обратной_магистрали" dataDxfId="139"/>
    <tableColumn id="17" name="Напор_мм_рт_столба" dataDxfId="138"/>
    <tableColumn id="18" name="Т_воздуха_помещ" dataDxfId="137"/>
    <tableColumn id="6" name="день_а" dataDxfId="136">
      <calculatedColumnFormula>IF(допакт_ОтЭфД[[#This Row],[Дата_акта]]="","",DAY(допакт_ОтЭфД[[#This Row],[Дата_акта]]))</calculatedColumnFormula>
    </tableColumn>
    <tableColumn id="7" name="месяц_а" dataDxfId="135">
      <calculatedColumnFormula>IF(допакт_ОтЭфД[[#This Row],[Дата_акта]]="","",CHOOSE(MONTH(допакт_ОтЭфД[[#This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134">
      <calculatedColumnFormula>IF(допакт_ОтЭфД[[#This Row],[Дата_акта]]="","",YEAR(допакт_ОтЭфД[[#This Row],[Дата_акта]]))</calculatedColumnFormula>
    </tableColumn>
  </tableColumns>
  <tableStyleInfo name="TableStyleLight1 2" showFirstColumn="0" showLastColumn="0" showRowStripes="1" showColumnStripes="1"/>
</table>
</file>

<file path=xl/tables/table21.xml><?xml version="1.0" encoding="utf-8"?>
<table xmlns="http://schemas.openxmlformats.org/spreadsheetml/2006/main" id="33" name="допакт_Промывка" displayName="допакт_Промывка" ref="A3:Q6">
  <autoFilter ref="A3:Q6"/>
  <tableColumns count="17">
    <tableColumn id="1" name="id" totalsRowLabel="Итог" dataDxfId="133"/>
    <tableColumn id="2" name="Название_работ" dataDxfId="132"/>
    <tableColumn id="17" name="Наименование_системы" dataDxfId="131"/>
    <tableColumn id="5" name="Дата_акта" dataDxfId="130"/>
    <tableColumn id="3" name="Наименование_объекта" dataDxfId="129" totalsRowDxfId="128"/>
    <tableColumn id="4" name="город" totalsRowFunction="count" dataDxfId="127">
      <calculatedColumnFormula>"Москва"</calculatedColumnFormula>
    </tableColumn>
    <tableColumn id="9" name="Должность_ФИО_Застройщика" dataDxfId="126"/>
    <tableColumn id="10" name="Должность_ФИО_Генподрядчика" dataDxfId="125"/>
    <tableColumn id="11" name="Должность_ФИО_Подрядчика"/>
    <tableColumn id="12" name="Юрлицо_Подрядчика"/>
    <tableColumn id="14" name="Юрлицо_Проектировщика"/>
    <tableColumn id="13" name="Наименование_Чертежей" dataDxfId="124"/>
    <tableColumn id="15" name="Протяжённость" dataDxfId="123"/>
    <tableColumn id="16" name="Среда_давление_расход" dataDxfId="122"/>
    <tableColumn id="6" name="день_а" dataDxfId="121">
      <calculatedColumnFormula>IF(допакт_Промывка[[#This Row],[Дата_акта]]="","",DAY(допакт_Промывка[[#This Row],[Дата_акта]]))</calculatedColumnFormula>
    </tableColumn>
    <tableColumn id="7" name="месяц_а" dataDxfId="120">
      <calculatedColumnFormula>IF(допакт_Промывка[[#This Row],[Дата_акта]]="","",CHOOSE(MONTH(допакт_Промывка[[#This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119">
      <calculatedColumnFormula>IF(допакт_Промывка[[#This Row],[Дата_акта]]="","",YEAR(допакт_Промывка[[#This Row],[Дата_акта]]))</calculatedColumnFormula>
    </tableColumn>
  </tableColumns>
  <tableStyleInfo name="TableStyleLight1 2" showFirstColumn="0" showLastColumn="0" showRowStripes="1" showColumnStripes="1"/>
</table>
</file>

<file path=xl/tables/table22.xml><?xml version="1.0" encoding="utf-8"?>
<table xmlns="http://schemas.openxmlformats.org/spreadsheetml/2006/main" id="32" name="допакт_АПрОб" displayName="допакт_АПрОб" ref="A3:AC6">
  <autoFilter ref="A3:AC6"/>
  <tableColumns count="29">
    <tableColumn id="1" name="id" totalsRowLabel="Итог" dataDxfId="118"/>
    <tableColumn id="2" name="Название_работ" dataDxfId="117"/>
    <tableColumn id="23" name="Дата_начала" dataDxfId="116"/>
    <tableColumn id="22" name="Дата_окончания" dataDxfId="115"/>
    <tableColumn id="5" name="Дата_акта" dataDxfId="114">
      <calculatedColumnFormula>IF(допакт_АПрОб[[#This Row],[Дата_окончания]]="","",допакт_АПрОб[[#This Row],[Дата_окончания]])</calculatedColumnFormula>
    </tableColumn>
    <tableColumn id="30" name="Где_смонтировано" dataDxfId="113"/>
    <tableColumn id="3" name="Наименование_объекта" dataDxfId="112" totalsRowDxfId="111"/>
    <tableColumn id="4" name="город" totalsRowFunction="count" dataDxfId="110">
      <calculatedColumnFormula>"Москва"</calculatedColumnFormula>
    </tableColumn>
    <tableColumn id="9" name="Должность_ФИО_Застройщика" dataDxfId="109"/>
    <tableColumn id="10" name="Должность_ФИО_Генподрядчика" dataDxfId="108"/>
    <tableColumn id="11" name="Должность_ФИО_Подрядчика"/>
    <tableColumn id="20" name="Должность_ФИО_Эксплуатации"/>
    <tableColumn id="21" name="Должность_ФИО_Проектировщика"/>
    <tableColumn id="31" name="Юрлицо_исполнителя"/>
    <tableColumn id="13" name="Документ_для_обследования"/>
    <tableColumn id="15" name="Номер_приложения_дефектов" dataDxfId="107"/>
    <tableColumn id="16" name="Номер_приложения_допработ" dataDxfId="106"/>
    <tableColumn id="29" name="день_н" dataDxfId="105">
      <calculatedColumnFormula>IF(допакт_АПрОб[[#This Row],[Дата_начала]]="","",DAY(допакт_АПрОб[[#This Row],[Дата_начала]]))</calculatedColumnFormula>
    </tableColumn>
    <tableColumn id="28" name="месяц_н" dataDxfId="104">
      <calculatedColumnFormula>IF(допакт_АПрОб[[#This Row],[Дата_начала]]="","",CHOOSE(MONTH(допакт_АПрОб[[#This Row],[Дата_начала]]),"января","февраля","марта","апреля","мая","июня","июля","августа","сентября","октября","ноября","декабря"))</calculatedColumnFormula>
    </tableColumn>
    <tableColumn id="27" name="год_н" dataDxfId="103">
      <calculatedColumnFormula>IF(допакт_АПрОб[[#This Row],[Дата_начала]]="","",YEAR(допакт_АПрОб[[#This Row],[Дата_начала]]))</calculatedColumnFormula>
    </tableColumn>
    <tableColumn id="26" name="день_о" dataDxfId="102">
      <calculatedColumnFormula>IF(допакт_АПрОб[[#This Row],[Дата_окончания]]="","",DAY(допакт_АПрОб[[#This Row],[Дата_окончания]]))</calculatedColumnFormula>
    </tableColumn>
    <tableColumn id="25" name="месяц_о" dataDxfId="101">
      <calculatedColumnFormula>IF(допакт_АПрОб[[#This Row],[Дата_окончания]]="","",CHOOSE(MONTH(допакт_АПрОб[[#This Row],[Дата_окончания]]),"января","февраля","марта","апреля","мая","июня","июля","августа","сентября","октября","ноября","декабря"))</calculatedColumnFormula>
    </tableColumn>
    <tableColumn id="24" name="год_о" dataDxfId="100">
      <calculatedColumnFormula>IF(допакт_АПрОб[[#This Row],[Дата_окончания]]="","",YEAR(допакт_АПрОб[[#This Row],[Дата_окончания]]))</calculatedColumnFormula>
    </tableColumn>
    <tableColumn id="6" name="день_а" dataDxfId="99">
      <calculatedColumnFormula>IF(допакт_АПрОб[[#This Row],[Дата_акта]]="","",DAY(допакт_АПрОб[[#This Row],[Дата_акта]]))</calculatedColumnFormula>
    </tableColumn>
    <tableColumn id="7" name="месяц_а" dataDxfId="98">
      <calculatedColumnFormula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calculatedColumnFormula>
    </tableColumn>
    <tableColumn id="8" name="год_а" dataDxfId="97">
      <calculatedColumnFormula>IF(допакт_АПрОб[[#This Row],[Дата_акта]]="","",YEAR(допакт_АПрОб[[#This Row],[Дата_акта]]))</calculatedColumnFormula>
    </tableColumn>
    <tableColumn id="32" name="день_а2" dataDxfId="96">
      <calculatedColumnFormula>IF(допакт_АПрОб[[#This Row],[Дата_акта]]="","",DAY(допакт_АПрОб[[#This Row],[Дата_акта]]))</calculatedColumnFormula>
    </tableColumn>
    <tableColumn id="33" name="месяц_а2" dataDxfId="95">
      <calculatedColumnFormula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calculatedColumnFormula>
    </tableColumn>
    <tableColumn id="34" name="год_а2" dataDxfId="94">
      <calculatedColumnFormula>IF(допакт_АПрОб[[#This Row],[Дата_акта]]="","",YEAR(допакт_АПрОб[[#This Row],[Дата_акта]]))</calculatedColumnFormula>
    </tableColumn>
  </tableColumns>
  <tableStyleInfo name="TableStyleLight1 2" showFirstColumn="0" showLastColumn="0" showRowStripes="1" showColumnStripes="1"/>
</table>
</file>

<file path=xl/tables/table23.xml><?xml version="1.0" encoding="utf-8"?>
<table xmlns="http://schemas.openxmlformats.org/spreadsheetml/2006/main" id="7" name="База_НТД" displayName="База_НТД" ref="A4:B289" totalsRowShown="0" dataDxfId="93">
  <autoFilter ref="A4:B289"/>
  <tableColumns count="2">
    <tableColumn id="1" name="Обозначение " dataDxfId="92"/>
    <tableColumn id="2" name="Наименование " dataDxfId="91"/>
  </tableColumns>
  <tableStyleInfo name="TableStyleLight1 2" showFirstColumn="0" showLastColumn="0" showRowStripes="1" showColumnStripes="0"/>
</table>
</file>

<file path=xl/tables/table24.xml><?xml version="1.0" encoding="utf-8"?>
<table xmlns="http://schemas.openxmlformats.org/spreadsheetml/2006/main" id="6" name="т_общие_данные_АВК" displayName="т_общие_данные_АВК" ref="A1:D7" tableType="queryTable" totalsRowShown="0">
  <autoFilter ref="A1:D7"/>
  <tableColumns count="4">
    <tableColumn id="1" uniqueName="1" name="Номер АВК" queryTableFieldId="1"/>
    <tableColumn id="2" uniqueName="2" name="Дата АВК" queryTableFieldId="2" dataDxfId="90"/>
    <tableColumn id="3" uniqueName="3" name="РД" queryTableFieldId="3" dataDxfId="89"/>
    <tableColumn id="4" uniqueName="4" name="Название материала" queryTableFieldId="4" dataDxfId="88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5" name="Таблица_т_АВК" displayName="Таблица_т_АВК" ref="A1:Q7" tableType="queryTable" totalsRowShown="0">
  <autoFilter ref="A1:Q7"/>
  <tableColumns count="17">
    <tableColumn id="2" uniqueName="2" name="id материала" queryTableFieldId="14" dataDxfId="87"/>
    <tableColumn id="8" uniqueName="8" name="Дата АВК" queryTableFieldId="15" dataDxfId="86"/>
    <tableColumn id="3" uniqueName="3" name="Название материала" queryTableFieldId="3" dataDxfId="85"/>
    <tableColumn id="4" uniqueName="4" name="Сертификат" queryTableFieldId="4" dataDxfId="84"/>
    <tableColumn id="5" uniqueName="5" name="Объём" queryTableFieldId="5" dataDxfId="83"/>
    <tableColumn id="6" uniqueName="6" name="Ед. изм." queryTableFieldId="6" dataDxfId="82"/>
    <tableColumn id="7" uniqueName="7" name="Шифр РД" queryTableFieldId="7" dataDxfId="81"/>
    <tableColumn id="1" uniqueName="1" name="Номер АВК" queryTableFieldId="8"/>
    <tableColumn id="9" uniqueName="9" name="Вид осмотра" queryTableFieldId="16" dataDxfId="80"/>
    <tableColumn id="10" uniqueName="10" name="Геом. размеры" queryTableFieldId="17" dataDxfId="79"/>
    <tableColumn id="11" uniqueName="11" name="ТУ" queryTableFieldId="18" dataDxfId="78"/>
    <tableColumn id="12" uniqueName="12" name="Соответствие по" queryTableFieldId="19" dataDxfId="77"/>
    <tableColumn id="13" uniqueName="13" name="Участок" queryTableFieldId="20" dataDxfId="76"/>
    <tableColumn id="14" uniqueName="14" name="Номер партии" queryTableFieldId="21"/>
    <tableColumn id="15" uniqueName="15" name="Привязка" queryTableFieldId="22"/>
    <tableColumn id="16" uniqueName="16" name="Создать АВК" queryTableFieldId="23"/>
    <tableColumn id="17" uniqueName="17" name="АОРПИ" queryTableFieldId="24" dataDxfId="75"/>
  </tableColumns>
  <tableStyleInfo name="TableStyleLight15" showFirstColumn="0" showLastColumn="0" showRowStripes="0" showColumnStripes="0"/>
</table>
</file>

<file path=xl/tables/table26.xml><?xml version="1.0" encoding="utf-8"?>
<table xmlns="http://schemas.openxmlformats.org/spreadsheetml/2006/main" id="4" name="Таблица_т_ЖВЗП" displayName="Таблица_т_ЖВЗП" ref="A4:K9" tableType="queryTable" totalsRowShown="0" headerRowDxfId="74" dataDxfId="73">
  <autoFilter ref="A4:K9"/>
  <tableColumns count="11">
    <tableColumn id="10" uniqueName="10" name="1" queryTableFieldId="16" dataDxfId="72"/>
    <tableColumn id="11" uniqueName="11" name="2" queryTableFieldId="17" dataDxfId="71"/>
    <tableColumn id="12" uniqueName="12" name="3" queryTableFieldId="18" dataDxfId="70"/>
    <tableColumn id="13" uniqueName="13" name="4" queryTableFieldId="19" dataDxfId="69"/>
    <tableColumn id="14" uniqueName="14" name="5" queryTableFieldId="20" dataDxfId="68"/>
    <tableColumn id="15" uniqueName="15" name="6" queryTableFieldId="21" dataDxfId="67"/>
    <tableColumn id="16" uniqueName="16" name="7" queryTableFieldId="22" dataDxfId="66"/>
    <tableColumn id="17" uniqueName="17" name="8" queryTableFieldId="23" dataDxfId="65"/>
    <tableColumn id="18" uniqueName="18" name="9" queryTableFieldId="24" dataDxfId="64"/>
    <tableColumn id="19" uniqueName="19" name="10" queryTableFieldId="25" dataDxfId="63"/>
    <tableColumn id="20" uniqueName="20" name="11" queryTableFieldId="26" dataDxfId="62"/>
  </tableColumns>
  <tableStyleInfo name="TableStyleLight15" showFirstColumn="0" showLastColumn="0" showRowStripes="0" showColumnStripes="0"/>
</table>
</file>

<file path=xl/tables/table27.xml><?xml version="1.0" encoding="utf-8"?>
<table xmlns="http://schemas.openxmlformats.org/spreadsheetml/2006/main" id="28" name="т_ЖВК" displayName="т_ЖВК" ref="A4:J9" tableType="queryTable" totalsRowShown="0" headerRowDxfId="61" dataDxfId="60">
  <autoFilter ref="A4:J9"/>
  <tableColumns count="10">
    <tableColumn id="10" uniqueName="10" name="1" queryTableFieldId="11" dataDxfId="59"/>
    <tableColumn id="11" uniqueName="11" name="2" queryTableFieldId="12" dataDxfId="58"/>
    <tableColumn id="12" uniqueName="12" name="3" queryTableFieldId="13" dataDxfId="57"/>
    <tableColumn id="13" uniqueName="13" name="4" queryTableFieldId="14" dataDxfId="56"/>
    <tableColumn id="14" uniqueName="14" name="5" queryTableFieldId="15" dataDxfId="55"/>
    <tableColumn id="15" uniqueName="15" name="6" queryTableFieldId="16" dataDxfId="54"/>
    <tableColumn id="16" uniqueName="16" name="7" queryTableFieldId="17" dataDxfId="53"/>
    <tableColumn id="17" uniqueName="17" name="8" queryTableFieldId="18" dataDxfId="52"/>
    <tableColumn id="18" uniqueName="18" name="9" queryTableFieldId="19" dataDxfId="51"/>
    <tableColumn id="19" uniqueName="19" name="10" queryTableFieldId="20" dataDxfId="50"/>
  </tableColumns>
  <tableStyleInfo name="TableStyleLight15" showFirstColumn="0" showLastColumn="0" showRowStripes="0" showColumnStripes="0"/>
</table>
</file>

<file path=xl/tables/table28.xml><?xml version="1.0" encoding="utf-8"?>
<table xmlns="http://schemas.openxmlformats.org/spreadsheetml/2006/main" id="17" name="qРеестрПоАктам" displayName="qРеестрПоАктам" ref="A1:E103" tableType="queryTable" totalsRowShown="0" dataDxfId="49">
  <autoFilter ref="A1:E103"/>
  <tableColumns count="5">
    <tableColumn id="1" uniqueName="1" name="Индекс" queryTableFieldId="1" dataDxfId="48"/>
    <tableColumn id="2" uniqueName="2" name="Название" queryTableFieldId="2" dataDxfId="47"/>
    <tableColumn id="3" uniqueName="3" name="Номер" queryTableFieldId="3" dataDxfId="46"/>
    <tableColumn id="4" uniqueName="4" name="Организация" queryTableFieldId="4" dataDxfId="45"/>
    <tableColumn id="5" uniqueName="5" name="Число листов" queryTableFieldId="5" dataDxfId="44"/>
  </tableColumns>
  <tableStyleInfo name="TableStyleLight1 2" showFirstColumn="0" showLastColumn="0" showRowStripes="1" showColumnStripes="0"/>
</table>
</file>

<file path=xl/tables/table29.xml><?xml version="1.0" encoding="utf-8"?>
<table xmlns="http://schemas.openxmlformats.org/spreadsheetml/2006/main" id="16" name="qРеестрПоТипам" displayName="qРеестрПоТипам" ref="A1:E90" tableType="queryTable" totalsRowShown="0" dataDxfId="43">
  <autoFilter ref="A1:E90"/>
  <tableColumns count="5">
    <tableColumn id="1" uniqueName="1" name="Индекс" queryTableFieldId="1" dataDxfId="42"/>
    <tableColumn id="2" uniqueName="2" name="Название" queryTableFieldId="2" dataDxfId="41"/>
    <tableColumn id="3" uniqueName="3" name="Номер" queryTableFieldId="3" dataDxfId="40"/>
    <tableColumn id="4" uniqueName="4" name="Организация" queryTableFieldId="4" dataDxfId="39"/>
    <tableColumn id="5" uniqueName="5" name="Число листов" queryTableFieldId="5" dataDxfId="38"/>
  </tableColumns>
  <tableStyleInfo name="TableStyleLight1 2" showFirstColumn="0" showLastColumn="0" showRowStripes="1" showColumnStripes="0"/>
</table>
</file>

<file path=xl/tables/table30.xml><?xml version="1.0" encoding="utf-8"?>
<table xmlns="http://schemas.openxmlformats.org/spreadsheetml/2006/main" id="21" name="qВсеДанныеВАкт" displayName="qВсеДанныеВАкт" ref="A1:L5" tableType="queryTable" totalsRowShown="0">
  <autoFilter ref="A1:L5"/>
  <tableColumns count="12">
    <tableColumn id="1" uniqueName="1" name="id" queryTableFieldId="1"/>
    <tableColumn id="2" uniqueName="2" name="Мат_серт" queryTableFieldId="2" dataDxfId="37"/>
    <tableColumn id="11" uniqueName="11" name="Мат_серт_перенос" queryTableFieldId="24" dataDxfId="36"/>
    <tableColumn id="10" uniqueName="10" name="Материалы" queryTableFieldId="12" dataDxfId="35"/>
    <tableColumn id="3" uniqueName="3" name="Сертификаты" queryTableFieldId="3" dataDxfId="34"/>
    <tableColumn id="6" uniqueName="6" name="Сертификаты перенос" queryTableFieldId="6" dataDxfId="33"/>
    <tableColumn id="4" uniqueName="4" name="Исп.схемы" queryTableFieldId="14"/>
    <tableColumn id="7" uniqueName="7" name="Исп.схемы перенос" queryTableFieldId="15"/>
    <tableColumn id="5" uniqueName="5" name="Протоколы" queryTableFieldId="5" dataDxfId="32"/>
    <tableColumn id="8" uniqueName="8" name="Протоколы перенос" queryTableFieldId="8" dataDxfId="31"/>
    <tableColumn id="12" uniqueName="12" name="п2" queryTableFieldId="20"/>
    <tableColumn id="13" uniqueName="13" name="п6" queryTableFieldId="2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23" name="qАООК" displayName="qАООК" ref="A1:P2" tableType="queryTable" totalsRowShown="0">
  <autoFilter ref="A1:P2"/>
  <tableColumns count="16">
    <tableColumn id="1" uniqueName="1" name="id" queryTableFieldId="1"/>
    <tableColumn id="2" uniqueName="2" name="Тип" queryTableFieldId="2"/>
    <tableColumn id="3" uniqueName="3" name="Материалы АОСР" queryTableFieldId="3" dataDxfId="30"/>
    <tableColumn id="16" uniqueName="16" name="Материалы_без_серт" queryTableFieldId="26" dataDxfId="29"/>
    <tableColumn id="15" uniqueName="15" name="Число материалов" queryTableFieldId="24"/>
    <tableColumn id="4" uniqueName="4" name="Число протоколов АОСР" queryTableFieldId="18"/>
    <tableColumn id="9" uniqueName="9" name="Протоколы_АОСР" queryTableFieldId="9" dataDxfId="28"/>
    <tableColumn id="7" uniqueName="7" name="Число схем" queryTableFieldId="19"/>
    <tableColumn id="5" uniqueName="5" name="Схемы" queryTableFieldId="5" dataDxfId="27"/>
    <tableColumn id="6" uniqueName="6" name="Проект" queryTableFieldId="6" dataDxfId="26"/>
    <tableColumn id="13" uniqueName="13" name="Начало" queryTableFieldId="14" dataDxfId="25"/>
    <tableColumn id="14" uniqueName="14" name="Окончание" queryTableFieldId="15" dataDxfId="24"/>
    <tableColumn id="8" uniqueName="8" name="Акты" queryTableFieldId="8" dataDxfId="23"/>
    <tableColumn id="11" uniqueName="11" name="Число протоколов АООК" queryTableFieldId="20"/>
    <tableColumn id="10" uniqueName="10" name="Протоколы_АООК" queryTableFieldId="10" dataDxfId="22"/>
    <tableColumn id="12" uniqueName="12" name="СНИП" queryTableFieldId="13" dataDxfId="21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id="12" name="НомераАктов" displayName="НомераАктов" ref="B1:B7" totalsRowShown="0">
  <autoFilter ref="B1:B7"/>
  <sortState ref="B2:B7">
    <sortCondition ref="B1:B7"/>
  </sortState>
  <tableColumns count="1">
    <tableColumn id="1" name="Номера актов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9" name="Люди" displayName="Люди" ref="D1:D7" totalsRowShown="0">
  <autoFilter ref="D1:D7"/>
  <tableColumns count="1">
    <tableColumn id="1" name="Тип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11" name="Таблица_выбор_т_Материалы" displayName="Таблица_выбор_т_Материалы" ref="H1:AV13" tableType="queryTable" totalsRowShown="0">
  <autoFilter ref="H1:AV13"/>
  <sortState ref="H2:AV13">
    <sortCondition ref="I1:I13"/>
  </sortState>
  <tableColumns count="41">
    <tableColumn id="1" uniqueName="1" name="id материала" queryTableFieldId="1" dataDxfId="20"/>
    <tableColumn id="2" uniqueName="2" name="Категория" queryTableFieldId="2"/>
    <tableColumn id="3" uniqueName="3" name="Название материала" queryTableFieldId="3" dataDxfId="19"/>
    <tableColumn id="4" uniqueName="4" name="Дата поступления" queryTableFieldId="4" dataDxfId="18"/>
    <tableColumn id="12" uniqueName="12" name="Объём" queryTableFieldId="20"/>
    <tableColumn id="6" uniqueName="6" name="Ед. изм." queryTableFieldId="14"/>
    <tableColumn id="7" uniqueName="7" name="Тип документа" queryTableFieldId="15" dataDxfId="17"/>
    <tableColumn id="8" uniqueName="8" name="Номер документа" queryTableFieldId="16" dataDxfId="16"/>
    <tableColumn id="9" uniqueName="9" name="Дата документа" queryTableFieldId="17" dataDxfId="15"/>
    <tableColumn id="20" uniqueName="20" name="Создать АВК" queryTableFieldId="40"/>
    <tableColumn id="10" uniqueName="10" name="Число листов" queryTableFieldId="18"/>
    <tableColumn id="18" uniqueName="18" name="Номер АВК" queryTableFieldId="36"/>
    <tableColumn id="11" uniqueName="11" name="Организация" queryTableFieldId="19"/>
    <tableColumn id="19" uniqueName="19" name="Необходимость контроля" queryTableFieldId="38"/>
    <tableColumn id="15" uniqueName="15" name="Номер вагона (автомашины)" queryTableFieldId="27"/>
    <tableColumn id="13" uniqueName="13" name="Дата изготовления" queryTableFieldId="23"/>
    <tableColumn id="16" uniqueName="16" name="Место отбора образца" queryTableFieldId="30"/>
    <tableColumn id="17" uniqueName="17" name="Дата отбора образца" queryTableFieldId="31"/>
    <tableColumn id="14" uniqueName="14" name="Вид упаковки" queryTableFieldId="24"/>
    <tableColumn id="5" uniqueName="5" name="Шифр РД" queryTableFieldId="22"/>
    <tableColumn id="21" uniqueName="21" name="Дата АВК" queryTableFieldId="41"/>
    <tableColumn id="22" uniqueName="22" name="Участок" queryTableFieldId="42"/>
    <tableColumn id="23" uniqueName="23" name="Технические нормы соответствия (ГОСТ, ТУ)" queryTableFieldId="43"/>
    <tableColumn id="24" uniqueName="24" name="Завод изготовитель" queryTableFieldId="44"/>
    <tableColumn id="25" uniqueName="25" name="Вид осмотра" queryTableFieldId="45"/>
    <tableColumn id="26" uniqueName="26" name="Геометрические размеры" queryTableFieldId="46"/>
    <tableColumn id="27" uniqueName="27" name="Поставщик (Заказчик, подрядчик)" queryTableFieldId="47"/>
    <tableColumn id="28" uniqueName="28" name="Заводской номер, номер партии" queryTableFieldId="48"/>
    <tableColumn id="29" uniqueName="29" name="Привязка (оси, координаты)" queryTableFieldId="49"/>
    <tableColumn id="30" uniqueName="30" name="Номер и дата протокола испытания при необходимости" queryTableFieldId="50"/>
    <tableColumn id="31" uniqueName="31" name="Описание несоответствия" queryTableFieldId="51"/>
    <tableColumn id="32" uniqueName="32" name="Характеристики мех. свойств" queryTableFieldId="52"/>
    <tableColumn id="33" uniqueName="33" name="Меры, предпринятые по устранению несоответствующей продукции" queryTableFieldId="53"/>
    <tableColumn id="34" uniqueName="34" name="Отметка об устранении несоответствия (результат, дата)" queryTableFieldId="54"/>
    <tableColumn id="35" uniqueName="35" name="Индекс категории пригодности" queryTableFieldId="55"/>
    <tableColumn id="36" uniqueName="36" name="№ чертежа,  проекта" queryTableFieldId="56"/>
    <tableColumn id="37" uniqueName="37" name="Фамилия, инициалы, подпись ответственного за проведение входного контроля" queryTableFieldId="57"/>
    <tableColumn id="38" uniqueName="38" name="Примечание" queryTableFieldId="58"/>
    <tableColumn id="39" uniqueName="39" name="ИндексДляАВК" queryTableFieldId="60"/>
    <tableColumn id="41" uniqueName="41" name="ЭтоАВК" queryTableFieldId="62"/>
    <tableColumn id="40" uniqueName="40" name="ИндексДляРеестра" queryTableFieldId="61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24" name="Таблица_выбор_т_Материалы_Категория" displayName="Таблица_выбор_т_Материалы_Категория" ref="AY1:AZ3" tableType="queryTable" totalsRowShown="0">
  <autoFilter ref="AY1:AZ3"/>
  <tableColumns count="2">
    <tableColumn id="1" uniqueName="1" name="Категория" queryTableFieldId="1"/>
    <tableColumn id="2" uniqueName="2" name="Количество" queryTableFieldId="2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id="25" name="Таблица_выбор_т_Материалы_Подкатегория" displayName="Таблица_выбор_т_Материалы_Подкатегория" ref="BC1:BE6" tableType="queryTable" totalsRowShown="0">
  <autoFilter ref="BC1:BE6"/>
  <tableColumns count="3">
    <tableColumn id="2" uniqueName="2" name="Название материала" queryTableFieldId="2" dataDxfId="14"/>
    <tableColumn id="3" uniqueName="3" name="Количество" queryTableFieldId="3"/>
    <tableColumn id="1" uniqueName="1" name="Категория" queryTableFieldId="1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26" name="да_нет" displayName="да_нет" ref="F1:F3" totalsRowShown="0">
  <autoFilter ref="F1:F3"/>
  <tableColumns count="1">
    <tableColumn id="1" name="Да_нет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13" name="qПриложенияМатериалы" displayName="qПриложенияМатериалы" ref="A1:F9" tableType="queryTable" totalsRowShown="0" dataDxfId="13">
  <autoFilter ref="A1:F9">
    <filterColumn colId="0">
      <filters>
        <filter val="1"/>
      </filters>
    </filterColumn>
  </autoFilter>
  <tableColumns count="6">
    <tableColumn id="1" uniqueName="1" name="id" queryTableFieldId="1" dataDxfId="12"/>
    <tableColumn id="2" uniqueName="2" name="Индекс" queryTableFieldId="2" dataDxfId="11"/>
    <tableColumn id="3" uniqueName="3" name="Название материала" queryTableFieldId="3" dataDxfId="10"/>
    <tableColumn id="4" uniqueName="4" name="Документ" queryTableFieldId="4" dataDxfId="9"/>
    <tableColumn id="5" uniqueName="5" name="Дата документа" queryTableFieldId="5" dataDxfId="8"/>
    <tableColumn id="6" uniqueName="6" name="Число листов" queryTableFieldId="7" dataDxfId="7"/>
  </tableColumns>
  <tableStyleInfo name="TableStyleLight15" showFirstColumn="0" showLastColumn="0" showRowStripes="0" showColumnStripes="0"/>
</table>
</file>

<file path=xl/tables/table39.xml><?xml version="1.0" encoding="utf-8"?>
<table xmlns="http://schemas.openxmlformats.org/spreadsheetml/2006/main" id="14" name="qПриложенияСхемыПротоколы" displayName="qПриложенияСхемыПротоколы" ref="A1:F7" tableType="queryTable" totalsRowShown="0" dataDxfId="6">
  <autoFilter ref="A1:F7">
    <filterColumn colId="0">
      <filters>
        <filter val="1"/>
      </filters>
    </filterColumn>
  </autoFilter>
  <tableColumns count="6">
    <tableColumn id="1" uniqueName="1" name="id" queryTableFieldId="1" dataDxfId="5"/>
    <tableColumn id="7" uniqueName="7" name="№ п/п" queryTableFieldId="7" dataDxfId="4"/>
    <tableColumn id="2" uniqueName="2" name="Тип документа" queryTableFieldId="2" dataDxfId="3"/>
    <tableColumn id="3" uniqueName="3" name="Название документа" queryTableFieldId="3" dataDxfId="2"/>
    <tableColumn id="4" uniqueName="4" name="Дата" queryTableFieldId="4" dataDxfId="1"/>
    <tableColumn id="5" uniqueName="5" name="Число листов" queryTableFieldId="5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Другая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5B9BD5"/>
      </a:accent5>
      <a:accent6>
        <a:srgbClr val="F79646"/>
      </a:accent6>
      <a:hlink>
        <a:srgbClr val="0000FF"/>
      </a:hlink>
      <a:folHlink>
        <a:srgbClr val="800080"/>
      </a:folHlink>
    </a:clrScheme>
    <a:fontScheme name="Другая 4">
      <a:majorFont>
        <a:latin typeface="Segoe UI Black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006AED-73B7-42BE-98F2-2446647FEA6A}">
  <we:reference id="wa200005271" version="1.1.0.0" store="ru-RU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agen_id" TargetMode="External"/><Relationship Id="rId3" Type="http://schemas.openxmlformats.org/officeDocument/2006/relationships/hyperlink" Target="https://agenerator.ru/electro/" TargetMode="External"/><Relationship Id="rId7" Type="http://schemas.openxmlformats.org/officeDocument/2006/relationships/hyperlink" Target="https://vk.com/ag_id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g-id@yandex.ru" TargetMode="External"/><Relationship Id="rId1" Type="http://schemas.openxmlformats.org/officeDocument/2006/relationships/hyperlink" Target="http://www.agenerator.ru/" TargetMode="External"/><Relationship Id="rId6" Type="http://schemas.openxmlformats.org/officeDocument/2006/relationships/hyperlink" Target="https://agenerator.ru/product/%d1%81%d0%be%d0%b1%d0%b8%d1%80%d0%b0%d1%82%d0%be%d1%80-%d0%be%d0%b6%d1%80-google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agenerator.ru/product/%d0%bf%d1%80%d0%b5%d0%b4%d0%bf%d0%b8%d1%81%d0%b0%d0%bd%d0%b8%d1%8f-%d1%82%d0%b5%d1%85%d0%bd%d0%b0%d0%b4%d0%b7%d0%be%d1%80%d0%b0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generator.ru/product/%d0%b3%d1%80%d0%b0%d1%84%d0%b8%d0%ba-%d0%bf%d1%80%d0%be%d0%b8%d0%b7%d0%b2%d0%be%d0%b4%d1%81%d1%82%d0%b2%d0%b0-%d1%80%d0%b0%d0%b1%d0%be%d1%82/" TargetMode="External"/><Relationship Id="rId9" Type="http://schemas.openxmlformats.org/officeDocument/2006/relationships/hyperlink" Target="https://agenerator.ru/gui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disk.yandex.ru/i/UzRdS6tuw6AJQw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spreadsheets/d/1gvU7LUTp7vurOwUNCEIhjG93QpFQa8f440pCOlAb78Y/edit?usp=sharing" TargetMode="External"/><Relationship Id="rId1" Type="http://schemas.openxmlformats.org/officeDocument/2006/relationships/hyperlink" Target="https://journal.agenerator.ru/" TargetMode="External"/><Relationship Id="rId6" Type="http://schemas.openxmlformats.org/officeDocument/2006/relationships/drawing" Target="../drawings/drawing2.xml"/><Relationship Id="rId11" Type="http://schemas.openxmlformats.org/officeDocument/2006/relationships/table" Target="../tables/table8.xml"/><Relationship Id="rId5" Type="http://schemas.openxmlformats.org/officeDocument/2006/relationships/printerSettings" Target="../printerSettings/printerSettings5.bin"/><Relationship Id="rId10" Type="http://schemas.openxmlformats.org/officeDocument/2006/relationships/table" Target="../tables/table7.xml"/><Relationship Id="rId4" Type="http://schemas.openxmlformats.org/officeDocument/2006/relationships/hyperlink" Target="https://vkvideo.ru/video-183753392_456239025" TargetMode="External"/><Relationship Id="rId9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3_&#1052;&#1072;&#1090;&#1077;&#1088;&#1080;&#1072;&#1083;&#1099;/12" TargetMode="External"/><Relationship Id="rId3" Type="http://schemas.openxmlformats.org/officeDocument/2006/relationships/hyperlink" Target="3_&#1052;&#1072;&#1090;&#1077;&#1088;&#1080;&#1072;&#1083;&#1099;/7" TargetMode="External"/><Relationship Id="rId7" Type="http://schemas.openxmlformats.org/officeDocument/2006/relationships/hyperlink" Target="3_&#1052;&#1072;&#1090;&#1077;&#1088;&#1080;&#1072;&#1083;&#1099;/11" TargetMode="External"/><Relationship Id="rId2" Type="http://schemas.openxmlformats.org/officeDocument/2006/relationships/hyperlink" Target="3_&#1052;&#1072;&#1090;&#1077;&#1088;&#1080;&#1072;&#1083;&#1099;/6" TargetMode="External"/><Relationship Id="rId1" Type="http://schemas.openxmlformats.org/officeDocument/2006/relationships/hyperlink" Target="3_&#1052;&#1072;&#1090;&#1077;&#1088;&#1080;&#1072;&#1083;&#1099;/5" TargetMode="External"/><Relationship Id="rId6" Type="http://schemas.openxmlformats.org/officeDocument/2006/relationships/hyperlink" Target="3_&#1052;&#1072;&#1090;&#1077;&#1088;&#1080;&#1072;&#1083;&#1099;/10" TargetMode="External"/><Relationship Id="rId5" Type="http://schemas.openxmlformats.org/officeDocument/2006/relationships/hyperlink" Target="3_&#1052;&#1072;&#1090;&#1077;&#1088;&#1080;&#1072;&#1083;&#1099;/9" TargetMode="External"/><Relationship Id="rId10" Type="http://schemas.openxmlformats.org/officeDocument/2006/relationships/table" Target="../tables/table10.xml"/><Relationship Id="rId4" Type="http://schemas.openxmlformats.org/officeDocument/2006/relationships/hyperlink" Target="3_&#1052;&#1072;&#1090;&#1077;&#1088;&#1080;&#1072;&#1083;&#1099;/8" TargetMode="External"/><Relationship Id="rId9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1_&#1057;&#1093;&#1077;&#1084;&#1099;/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2_&#1055;&#1088;&#1086;&#1090;&#1086;&#1082;&#1086;&#1083;&#1099;/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2:D35"/>
  <sheetViews>
    <sheetView showGridLines="0" showRowColHeaders="0" zoomScale="85" zoomScaleNormal="85" workbookViewId="0">
      <pane ySplit="6" topLeftCell="A18" activePane="bottomLeft" state="frozen"/>
      <selection pane="bottomLeft" activeCell="F25" sqref="F25"/>
    </sheetView>
  </sheetViews>
  <sheetFormatPr defaultColWidth="8.625" defaultRowHeight="12.75" x14ac:dyDescent="0.2"/>
  <cols>
    <col min="1" max="1" width="9.625" style="38" customWidth="1"/>
    <col min="2" max="2" width="25.375" style="38" customWidth="1"/>
    <col min="3" max="3" width="37.75" style="38" customWidth="1"/>
    <col min="4" max="4" width="9.25" style="38" customWidth="1"/>
    <col min="5" max="9" width="8.625" style="38"/>
    <col min="10" max="10" width="21.25" style="38" customWidth="1"/>
    <col min="11" max="11" width="32.5" style="38" customWidth="1"/>
    <col min="12" max="12" width="8.625" style="38"/>
    <col min="13" max="13" width="9.5" style="38" customWidth="1"/>
    <col min="14" max="16384" width="8.625" style="38"/>
  </cols>
  <sheetData>
    <row r="2" spans="1:4" ht="20.100000000000001" customHeight="1" x14ac:dyDescent="0.2">
      <c r="A2" s="37"/>
      <c r="B2" s="110" t="s">
        <v>179</v>
      </c>
      <c r="C2" s="41"/>
      <c r="D2" s="37"/>
    </row>
    <row r="3" spans="1:4" ht="35.1" customHeight="1" x14ac:dyDescent="0.2">
      <c r="A3" s="39"/>
      <c r="B3" s="111" t="s">
        <v>172</v>
      </c>
      <c r="C3" s="42"/>
      <c r="D3" s="112" t="s">
        <v>1274</v>
      </c>
    </row>
    <row r="4" spans="1:4" ht="15.75" x14ac:dyDescent="0.25">
      <c r="A4" s="39"/>
      <c r="B4" s="57" t="s">
        <v>199</v>
      </c>
      <c r="C4" s="57" t="s">
        <v>200</v>
      </c>
      <c r="D4" s="39"/>
    </row>
    <row r="5" spans="1:4" ht="15.75" x14ac:dyDescent="0.25">
      <c r="A5" s="39"/>
      <c r="B5" s="58" t="s">
        <v>1279</v>
      </c>
      <c r="C5" s="58" t="s">
        <v>1278</v>
      </c>
      <c r="D5" s="39"/>
    </row>
    <row r="6" spans="1:4" ht="44.1" customHeight="1" x14ac:dyDescent="0.2">
      <c r="A6" s="39"/>
      <c r="D6" s="39"/>
    </row>
    <row r="7" spans="1:4" x14ac:dyDescent="0.2">
      <c r="A7" s="39"/>
      <c r="C7" s="39"/>
      <c r="D7" s="39"/>
    </row>
    <row r="8" spans="1:4" ht="25.5" x14ac:dyDescent="0.2">
      <c r="B8" s="40" t="s">
        <v>180</v>
      </c>
      <c r="C8" s="39"/>
      <c r="D8" s="39"/>
    </row>
    <row r="9" spans="1:4" ht="15.75" x14ac:dyDescent="0.25">
      <c r="A9" s="43" t="s">
        <v>184</v>
      </c>
      <c r="B9" t="s">
        <v>182</v>
      </c>
      <c r="C9" s="39"/>
      <c r="D9" s="39"/>
    </row>
    <row r="10" spans="1:4" ht="15.75" x14ac:dyDescent="0.25">
      <c r="A10" s="43" t="s">
        <v>184</v>
      </c>
      <c r="B10" t="s">
        <v>183</v>
      </c>
      <c r="C10" s="39"/>
      <c r="D10" s="39"/>
    </row>
    <row r="11" spans="1:4" ht="15.75" x14ac:dyDescent="0.25">
      <c r="A11" s="43" t="s">
        <v>184</v>
      </c>
      <c r="B11" t="s">
        <v>346</v>
      </c>
      <c r="C11" s="39"/>
      <c r="D11" s="39"/>
    </row>
    <row r="12" spans="1:4" ht="15.75" x14ac:dyDescent="0.25">
      <c r="A12" s="43" t="s">
        <v>184</v>
      </c>
      <c r="B12" t="s">
        <v>207</v>
      </c>
      <c r="C12" s="39"/>
      <c r="D12" s="39"/>
    </row>
    <row r="13" spans="1:4" ht="15.75" x14ac:dyDescent="0.25">
      <c r="A13" s="43" t="s">
        <v>184</v>
      </c>
      <c r="B13" t="s">
        <v>181</v>
      </c>
      <c r="C13" s="39"/>
      <c r="D13" s="39"/>
    </row>
    <row r="14" spans="1:4" x14ac:dyDescent="0.2">
      <c r="B14" s="39"/>
      <c r="C14" s="39"/>
      <c r="D14" s="39"/>
    </row>
    <row r="15" spans="1:4" ht="25.5" x14ac:dyDescent="0.2">
      <c r="B15" s="40" t="s">
        <v>234</v>
      </c>
      <c r="C15" s="39"/>
      <c r="D15" s="39"/>
    </row>
    <row r="16" spans="1:4" customFormat="1" ht="15.75" x14ac:dyDescent="0.25">
      <c r="A16" s="38"/>
      <c r="B16" t="s">
        <v>229</v>
      </c>
    </row>
    <row r="17" spans="2:3" customFormat="1" ht="15.75" x14ac:dyDescent="0.25">
      <c r="B17" t="s">
        <v>230</v>
      </c>
    </row>
    <row r="18" spans="2:3" customFormat="1" ht="15.75" x14ac:dyDescent="0.25">
      <c r="B18" t="s">
        <v>231</v>
      </c>
    </row>
    <row r="19" spans="2:3" customFormat="1" ht="15.75" x14ac:dyDescent="0.25"/>
    <row r="20" spans="2:3" customFormat="1" ht="15.75" x14ac:dyDescent="0.25"/>
    <row r="21" spans="2:3" customFormat="1" ht="15.75" x14ac:dyDescent="0.25"/>
    <row r="22" spans="2:3" ht="25.5" x14ac:dyDescent="0.2">
      <c r="B22" s="40" t="s">
        <v>186</v>
      </c>
      <c r="C22" s="39"/>
    </row>
    <row r="23" spans="2:3" ht="15.75" x14ac:dyDescent="0.25">
      <c r="B23" s="61" t="s">
        <v>187</v>
      </c>
      <c r="C23" s="61" t="s">
        <v>188</v>
      </c>
    </row>
    <row r="24" spans="2:3" customFormat="1" ht="15.75" x14ac:dyDescent="0.25">
      <c r="B24" s="62" t="s">
        <v>228</v>
      </c>
      <c r="C24" s="63" t="s">
        <v>185</v>
      </c>
    </row>
    <row r="25" spans="2:3" ht="15.75" x14ac:dyDescent="0.25">
      <c r="B25" s="62" t="s">
        <v>175</v>
      </c>
      <c r="C25" s="64" t="s">
        <v>176</v>
      </c>
    </row>
    <row r="26" spans="2:3" ht="15.75" x14ac:dyDescent="0.25">
      <c r="B26" s="62" t="s">
        <v>173</v>
      </c>
      <c r="C26" s="64" t="s">
        <v>174</v>
      </c>
    </row>
    <row r="27" spans="2:3" ht="15.75" x14ac:dyDescent="0.25">
      <c r="B27" s="62" t="s">
        <v>227</v>
      </c>
      <c r="C27" s="44" t="s">
        <v>232</v>
      </c>
    </row>
    <row r="28" spans="2:3" ht="15.75" x14ac:dyDescent="0.25">
      <c r="B28" s="62" t="s">
        <v>233</v>
      </c>
      <c r="C28" s="44" t="s">
        <v>235</v>
      </c>
    </row>
    <row r="29" spans="2:3" ht="15.75" x14ac:dyDescent="0.25">
      <c r="B29" s="62" t="s">
        <v>237</v>
      </c>
      <c r="C29" s="44" t="s">
        <v>236</v>
      </c>
    </row>
    <row r="30" spans="2:3" x14ac:dyDescent="0.2">
      <c r="B30" s="37"/>
      <c r="C30" s="37"/>
    </row>
    <row r="31" spans="2:3" ht="30.6" customHeight="1" x14ac:dyDescent="0.2">
      <c r="B31" s="40" t="s">
        <v>192</v>
      </c>
      <c r="C31" s="37"/>
    </row>
    <row r="32" spans="2:3" ht="15.75" x14ac:dyDescent="0.25">
      <c r="B32" s="44" t="s">
        <v>191</v>
      </c>
    </row>
    <row r="33" spans="2:2" ht="15.75" x14ac:dyDescent="0.25">
      <c r="B33" s="44" t="s">
        <v>189</v>
      </c>
    </row>
    <row r="34" spans="2:2" ht="15.75" x14ac:dyDescent="0.25">
      <c r="B34" s="44" t="s">
        <v>190</v>
      </c>
    </row>
    <row r="35" spans="2:2" ht="15.75" x14ac:dyDescent="0.25">
      <c r="B35" s="44" t="s">
        <v>193</v>
      </c>
    </row>
  </sheetData>
  <phoneticPr fontId="2" type="noConversion"/>
  <hyperlinks>
    <hyperlink ref="C26" r:id="rId1"/>
    <hyperlink ref="C25" r:id="rId2"/>
    <hyperlink ref="B32" r:id="rId3"/>
    <hyperlink ref="B34" r:id="rId4"/>
    <hyperlink ref="B33" r:id="rId5"/>
    <hyperlink ref="B35" r:id="rId6" display="Общий журнал работ онлайн в Гугл-таблицах"/>
    <hyperlink ref="C27" r:id="rId7"/>
    <hyperlink ref="C28" r:id="rId8"/>
    <hyperlink ref="C29" r:id="rId9" location="feedback"/>
  </hyperlinks>
  <pageMargins left="0.7" right="0.7" top="0.75" bottom="0.75" header="0.3" footer="0.3"/>
  <pageSetup paperSize="9" orientation="portrait" horizontalDpi="1200" verticalDpi="1200" r:id="rId10"/>
  <drawing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43"/>
  <sheetViews>
    <sheetView showGridLines="0" zoomScale="85" zoomScaleNormal="85" workbookViewId="0">
      <pane ySplit="1" topLeftCell="A32" activePane="bottomLeft" state="frozen"/>
      <selection pane="bottomLeft" activeCell="B17" sqref="B17"/>
    </sheetView>
  </sheetViews>
  <sheetFormatPr defaultRowHeight="15.75" x14ac:dyDescent="0.25"/>
  <cols>
    <col min="1" max="1" width="24" style="9" customWidth="1"/>
    <col min="2" max="2" width="58" customWidth="1"/>
    <col min="3" max="3" width="67.125" customWidth="1"/>
  </cols>
  <sheetData>
    <row r="1" spans="1:3" ht="21" x14ac:dyDescent="0.35">
      <c r="B1" s="105" t="s">
        <v>52</v>
      </c>
    </row>
    <row r="3" spans="1:3" x14ac:dyDescent="0.25">
      <c r="B3" s="21" t="s">
        <v>53</v>
      </c>
    </row>
    <row r="4" spans="1:3" ht="31.5" x14ac:dyDescent="0.25">
      <c r="A4" s="22" t="s">
        <v>54</v>
      </c>
      <c r="B4" s="23" t="s">
        <v>1160</v>
      </c>
    </row>
    <row r="5" spans="1:3" x14ac:dyDescent="0.25">
      <c r="A5" s="22" t="s">
        <v>55</v>
      </c>
      <c r="B5" s="23" t="s">
        <v>1161</v>
      </c>
    </row>
    <row r="7" spans="1:3" ht="31.5" x14ac:dyDescent="0.25">
      <c r="B7" s="21" t="s">
        <v>56</v>
      </c>
    </row>
    <row r="8" spans="1:3" x14ac:dyDescent="0.25">
      <c r="A8" s="34" t="s">
        <v>170</v>
      </c>
      <c r="B8" s="36" t="s">
        <v>1162</v>
      </c>
    </row>
    <row r="9" spans="1:3" ht="72" x14ac:dyDescent="0.25">
      <c r="A9" s="24" t="s">
        <v>169</v>
      </c>
      <c r="B9" s="35" t="s">
        <v>1163</v>
      </c>
      <c r="C9" s="25" t="s">
        <v>60</v>
      </c>
    </row>
    <row r="11" spans="1:3" x14ac:dyDescent="0.25">
      <c r="B11" s="21" t="s">
        <v>57</v>
      </c>
    </row>
    <row r="12" spans="1:3" x14ac:dyDescent="0.25">
      <c r="A12" s="34" t="s">
        <v>170</v>
      </c>
      <c r="B12" s="36" t="s">
        <v>1164</v>
      </c>
    </row>
    <row r="13" spans="1:3" ht="94.5" x14ac:dyDescent="0.25">
      <c r="A13" s="24" t="s">
        <v>169</v>
      </c>
      <c r="B13" s="35" t="s">
        <v>1165</v>
      </c>
      <c r="C13" s="25" t="s">
        <v>61</v>
      </c>
    </row>
    <row r="15" spans="1:3" x14ac:dyDescent="0.25">
      <c r="B15" s="26" t="s">
        <v>58</v>
      </c>
    </row>
    <row r="16" spans="1:3" x14ac:dyDescent="0.25">
      <c r="A16" s="34" t="s">
        <v>170</v>
      </c>
      <c r="B16" s="36" t="s">
        <v>1166</v>
      </c>
    </row>
    <row r="17" spans="1:3" ht="78" customHeight="1" x14ac:dyDescent="0.25">
      <c r="A17" s="24" t="s">
        <v>169</v>
      </c>
      <c r="B17" s="35" t="s">
        <v>1167</v>
      </c>
      <c r="C17" s="25" t="s">
        <v>63</v>
      </c>
    </row>
    <row r="18" spans="1:3" x14ac:dyDescent="0.25">
      <c r="C18" s="27"/>
    </row>
    <row r="19" spans="1:3" x14ac:dyDescent="0.25">
      <c r="B19" s="28" t="s">
        <v>59</v>
      </c>
    </row>
    <row r="20" spans="1:3" x14ac:dyDescent="0.25">
      <c r="A20" s="34" t="s">
        <v>170</v>
      </c>
      <c r="B20" s="36"/>
    </row>
    <row r="21" spans="1:3" ht="84" x14ac:dyDescent="0.25">
      <c r="A21" s="24" t="s">
        <v>169</v>
      </c>
      <c r="B21" s="35"/>
      <c r="C21" s="25" t="s">
        <v>62</v>
      </c>
    </row>
    <row r="24" spans="1:3" ht="21" x14ac:dyDescent="0.35">
      <c r="B24" s="20" t="s">
        <v>339</v>
      </c>
    </row>
    <row r="26" spans="1:3" ht="67.349999999999994" customHeight="1" x14ac:dyDescent="0.25">
      <c r="A26" s="77" t="s">
        <v>54</v>
      </c>
      <c r="B26" s="83"/>
    </row>
    <row r="27" spans="1:3" x14ac:dyDescent="0.25">
      <c r="A27" s="79" t="s">
        <v>340</v>
      </c>
      <c r="B27" s="78"/>
    </row>
    <row r="28" spans="1:3" x14ac:dyDescent="0.25">
      <c r="A28" s="79"/>
      <c r="B28" s="80"/>
    </row>
    <row r="29" spans="1:3" x14ac:dyDescent="0.25">
      <c r="B29" s="33" t="s">
        <v>341</v>
      </c>
    </row>
    <row r="30" spans="1:3" x14ac:dyDescent="0.25">
      <c r="A30" s="34" t="s">
        <v>33</v>
      </c>
      <c r="B30" s="8"/>
    </row>
    <row r="31" spans="1:3" x14ac:dyDescent="0.25">
      <c r="A31" s="34" t="s">
        <v>32</v>
      </c>
      <c r="B31" s="81"/>
    </row>
    <row r="33" spans="1:2" x14ac:dyDescent="0.25">
      <c r="B33" s="33" t="s">
        <v>342</v>
      </c>
    </row>
    <row r="34" spans="1:2" x14ac:dyDescent="0.25">
      <c r="A34" s="34" t="s">
        <v>33</v>
      </c>
      <c r="B34" s="82"/>
    </row>
    <row r="35" spans="1:2" x14ac:dyDescent="0.25">
      <c r="A35" s="34" t="s">
        <v>32</v>
      </c>
      <c r="B35" s="81"/>
    </row>
    <row r="37" spans="1:2" x14ac:dyDescent="0.25">
      <c r="B37" s="33" t="s">
        <v>343</v>
      </c>
    </row>
    <row r="38" spans="1:2" x14ac:dyDescent="0.25">
      <c r="A38" s="34" t="s">
        <v>33</v>
      </c>
      <c r="B38" s="82"/>
    </row>
    <row r="39" spans="1:2" x14ac:dyDescent="0.25">
      <c r="A39" s="34" t="s">
        <v>32</v>
      </c>
      <c r="B39" s="81"/>
    </row>
    <row r="41" spans="1:2" x14ac:dyDescent="0.25">
      <c r="B41" s="33" t="s">
        <v>344</v>
      </c>
    </row>
    <row r="42" spans="1:2" x14ac:dyDescent="0.25">
      <c r="A42" s="34" t="s">
        <v>33</v>
      </c>
      <c r="B42" s="8"/>
    </row>
    <row r="43" spans="1:2" x14ac:dyDescent="0.25">
      <c r="A43" s="34" t="s">
        <v>32</v>
      </c>
      <c r="B43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K22"/>
  <sheetViews>
    <sheetView showGridLines="0" zoomScale="85" zoomScaleNormal="85" workbookViewId="0">
      <pane xSplit="3" ySplit="2" topLeftCell="E3" activePane="bottomRight" state="frozen"/>
      <selection pane="topRight" activeCell="D1" sqref="D1"/>
      <selection pane="bottomLeft" activeCell="A4" sqref="A4"/>
      <selection pane="bottomRight" activeCell="C12" sqref="C12"/>
    </sheetView>
  </sheetViews>
  <sheetFormatPr defaultRowHeight="15.75" x14ac:dyDescent="0.25"/>
  <cols>
    <col min="1" max="1" width="5.125" customWidth="1"/>
    <col min="2" max="2" width="18.125" customWidth="1"/>
    <col min="3" max="3" width="33.25" bestFit="1" customWidth="1"/>
    <col min="4" max="4" width="21.875" customWidth="1"/>
    <col min="5" max="5" width="21.125" customWidth="1"/>
    <col min="6" max="6" width="31.125" customWidth="1"/>
    <col min="7" max="7" width="42.875" customWidth="1"/>
    <col min="8" max="8" width="14.125" style="2" customWidth="1"/>
    <col min="9" max="9" width="16" style="2" customWidth="1"/>
    <col min="10" max="10" width="14.125" bestFit="1" customWidth="1"/>
    <col min="11" max="11" width="44.75" customWidth="1"/>
  </cols>
  <sheetData>
    <row r="1" spans="1:11" ht="21" x14ac:dyDescent="0.35">
      <c r="A1" s="74" t="s">
        <v>19</v>
      </c>
    </row>
    <row r="2" spans="1:11" ht="47.25" x14ac:dyDescent="0.25">
      <c r="A2" s="1" t="s">
        <v>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04" t="s">
        <v>37</v>
      </c>
      <c r="I2" s="104" t="s">
        <v>38</v>
      </c>
      <c r="J2" s="1" t="s">
        <v>201</v>
      </c>
      <c r="K2" s="1" t="s">
        <v>40</v>
      </c>
    </row>
    <row r="3" spans="1:11" ht="63" x14ac:dyDescent="0.25">
      <c r="A3" s="10">
        <v>1</v>
      </c>
      <c r="B3" s="47" t="s">
        <v>20</v>
      </c>
      <c r="C3" s="1" t="s">
        <v>1168</v>
      </c>
      <c r="D3" s="1" t="s">
        <v>1169</v>
      </c>
      <c r="E3" s="1" t="s">
        <v>1170</v>
      </c>
      <c r="F3" s="1" t="s">
        <v>1171</v>
      </c>
      <c r="G3" s="1" t="s">
        <v>1172</v>
      </c>
      <c r="H3" s="104"/>
      <c r="I3" s="104"/>
      <c r="J3" s="45" t="s">
        <v>39</v>
      </c>
      <c r="K3" s="1" t="s">
        <v>1173</v>
      </c>
    </row>
    <row r="4" spans="1:11" x14ac:dyDescent="0.25">
      <c r="A4" s="6">
        <v>2</v>
      </c>
      <c r="B4" s="47" t="s">
        <v>21</v>
      </c>
      <c r="C4" s="1" t="s">
        <v>1174</v>
      </c>
      <c r="D4" s="1" t="s">
        <v>1175</v>
      </c>
      <c r="E4" s="1" t="s">
        <v>1176</v>
      </c>
      <c r="F4" s="1" t="s">
        <v>1177</v>
      </c>
      <c r="G4" s="1"/>
      <c r="H4" s="104"/>
      <c r="I4" s="104"/>
      <c r="J4" s="45"/>
      <c r="K4" s="1"/>
    </row>
    <row r="5" spans="1:11" x14ac:dyDescent="0.25">
      <c r="A5" s="6">
        <v>3</v>
      </c>
      <c r="B5" s="47" t="s">
        <v>22</v>
      </c>
      <c r="C5" s="1" t="s">
        <v>1178</v>
      </c>
      <c r="D5" s="1" t="s">
        <v>1179</v>
      </c>
      <c r="E5" s="1" t="s">
        <v>1176</v>
      </c>
      <c r="F5" s="1" t="s">
        <v>1180</v>
      </c>
      <c r="G5" s="1"/>
      <c r="H5" s="104"/>
      <c r="I5" s="104"/>
      <c r="J5" s="45"/>
      <c r="K5" s="1"/>
    </row>
    <row r="6" spans="1:11" ht="47.25" x14ac:dyDescent="0.25">
      <c r="A6" s="6">
        <v>4</v>
      </c>
      <c r="B6" s="47" t="s">
        <v>23</v>
      </c>
      <c r="C6" s="1" t="s">
        <v>1181</v>
      </c>
      <c r="D6" s="1" t="s">
        <v>1182</v>
      </c>
      <c r="E6" s="1" t="s">
        <v>1183</v>
      </c>
      <c r="F6" s="1" t="s">
        <v>1184</v>
      </c>
      <c r="G6" s="1" t="s">
        <v>1185</v>
      </c>
      <c r="H6" s="104"/>
      <c r="I6" s="104"/>
      <c r="J6" s="45"/>
      <c r="K6" s="1"/>
    </row>
    <row r="7" spans="1:11" ht="63" x14ac:dyDescent="0.25">
      <c r="A7" s="6">
        <v>5</v>
      </c>
      <c r="B7" s="47" t="s">
        <v>24</v>
      </c>
      <c r="C7" s="1" t="s">
        <v>1186</v>
      </c>
      <c r="D7" s="1" t="s">
        <v>1187</v>
      </c>
      <c r="E7" s="1" t="s">
        <v>1188</v>
      </c>
      <c r="F7" s="1" t="s">
        <v>1189</v>
      </c>
      <c r="G7" s="1" t="s">
        <v>1190</v>
      </c>
      <c r="H7" s="104"/>
      <c r="I7" s="104"/>
      <c r="J7" s="45" t="s">
        <v>39</v>
      </c>
      <c r="K7" s="1" t="s">
        <v>1173</v>
      </c>
    </row>
    <row r="8" spans="1:11" ht="47.25" x14ac:dyDescent="0.25">
      <c r="A8" s="6">
        <v>6</v>
      </c>
      <c r="B8" s="47" t="s">
        <v>171</v>
      </c>
      <c r="C8" s="1" t="s">
        <v>1191</v>
      </c>
      <c r="D8" s="1" t="s">
        <v>1187</v>
      </c>
      <c r="E8" s="1" t="s">
        <v>1192</v>
      </c>
      <c r="F8" s="1" t="s">
        <v>1189</v>
      </c>
      <c r="G8" s="1" t="s">
        <v>1190</v>
      </c>
      <c r="H8" s="104"/>
      <c r="I8" s="104"/>
      <c r="J8" s="45"/>
      <c r="K8" s="1"/>
    </row>
    <row r="9" spans="1:11" x14ac:dyDescent="0.25">
      <c r="A9" s="6">
        <v>7</v>
      </c>
      <c r="B9" s="47"/>
      <c r="C9" s="1"/>
      <c r="D9" s="1"/>
      <c r="E9" s="1"/>
      <c r="F9" s="1"/>
      <c r="G9" s="1"/>
      <c r="H9" s="104"/>
      <c r="I9" s="104"/>
      <c r="J9" s="45"/>
      <c r="K9" s="1"/>
    </row>
    <row r="10" spans="1:11" x14ac:dyDescent="0.25">
      <c r="A10" s="6">
        <v>8</v>
      </c>
      <c r="B10" s="47"/>
      <c r="C10" s="1"/>
      <c r="D10" s="1"/>
      <c r="E10" s="1"/>
      <c r="F10" s="1"/>
      <c r="G10" s="1"/>
      <c r="H10" s="104"/>
      <c r="I10" s="104"/>
      <c r="J10" s="45"/>
      <c r="K10" s="1"/>
    </row>
    <row r="11" spans="1:11" x14ac:dyDescent="0.25">
      <c r="A11" s="6">
        <v>9</v>
      </c>
      <c r="B11" s="47"/>
      <c r="C11" s="1"/>
      <c r="D11" s="1"/>
      <c r="E11" s="1"/>
      <c r="F11" s="1"/>
      <c r="G11" s="1"/>
      <c r="H11" s="104"/>
      <c r="I11" s="104"/>
      <c r="J11" s="45"/>
      <c r="K11" s="1"/>
    </row>
    <row r="12" spans="1:11" x14ac:dyDescent="0.25">
      <c r="A12" s="6">
        <v>10</v>
      </c>
      <c r="B12" s="47"/>
      <c r="C12" s="1"/>
      <c r="D12" s="1"/>
      <c r="E12" s="1"/>
      <c r="F12" s="1"/>
      <c r="G12" s="1"/>
      <c r="H12" s="104"/>
      <c r="I12" s="104"/>
      <c r="J12" s="45"/>
      <c r="K12" s="1"/>
    </row>
    <row r="13" spans="1:11" x14ac:dyDescent="0.25">
      <c r="A13" s="6">
        <v>11</v>
      </c>
      <c r="B13" s="47"/>
      <c r="C13" s="1"/>
      <c r="D13" s="1"/>
      <c r="E13" s="1"/>
      <c r="F13" s="1"/>
      <c r="G13" s="1"/>
      <c r="H13" s="104"/>
      <c r="I13" s="104"/>
      <c r="J13" s="45"/>
      <c r="K13" s="1"/>
    </row>
    <row r="14" spans="1:11" x14ac:dyDescent="0.25">
      <c r="A14" s="6">
        <v>12</v>
      </c>
      <c r="B14" s="47"/>
      <c r="C14" s="1"/>
      <c r="D14" s="1"/>
      <c r="E14" s="1"/>
      <c r="F14" s="1"/>
      <c r="G14" s="1"/>
      <c r="H14" s="104"/>
      <c r="I14" s="104"/>
      <c r="J14" s="45"/>
      <c r="K14" s="1"/>
    </row>
    <row r="15" spans="1:11" x14ac:dyDescent="0.25">
      <c r="A15" s="6">
        <v>13</v>
      </c>
      <c r="B15" s="47"/>
      <c r="C15" s="1"/>
      <c r="D15" s="1"/>
      <c r="E15" s="1"/>
      <c r="F15" s="1"/>
      <c r="G15" s="1"/>
      <c r="H15" s="104"/>
      <c r="I15" s="104"/>
      <c r="J15" s="45"/>
      <c r="K15" s="1"/>
    </row>
    <row r="16" spans="1:11" x14ac:dyDescent="0.25">
      <c r="A16" s="6">
        <v>14</v>
      </c>
      <c r="B16" s="47"/>
      <c r="C16" s="1"/>
      <c r="D16" s="1"/>
      <c r="E16" s="1"/>
      <c r="F16" s="1"/>
      <c r="G16" s="1"/>
      <c r="H16" s="104"/>
      <c r="I16" s="104"/>
      <c r="J16" s="45"/>
      <c r="K16" s="1"/>
    </row>
    <row r="17" spans="1:11" x14ac:dyDescent="0.25">
      <c r="A17" s="6">
        <v>15</v>
      </c>
      <c r="B17" s="47"/>
      <c r="C17" s="1"/>
      <c r="D17" s="1"/>
      <c r="E17" s="1"/>
      <c r="F17" s="1"/>
      <c r="G17" s="1"/>
      <c r="H17" s="104"/>
      <c r="I17" s="104"/>
      <c r="J17" s="45"/>
      <c r="K17" s="1"/>
    </row>
    <row r="18" spans="1:11" x14ac:dyDescent="0.25">
      <c r="A18" s="6">
        <v>16</v>
      </c>
      <c r="B18" s="47"/>
      <c r="C18" s="1"/>
      <c r="D18" s="1"/>
      <c r="E18" s="1"/>
      <c r="F18" s="1"/>
      <c r="G18" s="1"/>
      <c r="H18" s="104"/>
      <c r="I18" s="104"/>
      <c r="J18" s="45"/>
      <c r="K18" s="1"/>
    </row>
    <row r="19" spans="1:11" x14ac:dyDescent="0.25">
      <c r="A19" s="6">
        <v>17</v>
      </c>
      <c r="B19" s="47"/>
      <c r="C19" s="1"/>
      <c r="D19" s="1"/>
      <c r="E19" s="1"/>
      <c r="F19" s="1"/>
      <c r="G19" s="1"/>
      <c r="H19" s="104"/>
      <c r="I19" s="104"/>
      <c r="J19" s="45"/>
      <c r="K19" s="1"/>
    </row>
    <row r="20" spans="1:11" x14ac:dyDescent="0.25">
      <c r="A20" s="6">
        <v>18</v>
      </c>
      <c r="B20" s="47"/>
      <c r="C20" s="1"/>
      <c r="D20" s="1"/>
      <c r="E20" s="1"/>
      <c r="F20" s="1"/>
      <c r="G20" s="1"/>
      <c r="H20" s="104"/>
      <c r="I20" s="104"/>
      <c r="J20" s="45"/>
      <c r="K20" s="1"/>
    </row>
    <row r="21" spans="1:11" x14ac:dyDescent="0.25">
      <c r="A21" s="6">
        <v>19</v>
      </c>
      <c r="B21" s="47"/>
      <c r="C21" s="1"/>
      <c r="D21" s="1"/>
      <c r="E21" s="1"/>
      <c r="F21" s="1"/>
      <c r="G21" s="1"/>
      <c r="H21" s="104"/>
      <c r="I21" s="104"/>
      <c r="J21" s="45"/>
      <c r="K21" s="1"/>
    </row>
    <row r="22" spans="1:11" x14ac:dyDescent="0.25">
      <c r="A22" s="6">
        <v>20</v>
      </c>
      <c r="B22" s="47"/>
      <c r="C22" s="1"/>
      <c r="D22" s="1"/>
      <c r="E22" s="1"/>
      <c r="F22" s="1"/>
      <c r="G22" s="1"/>
      <c r="H22" s="104"/>
      <c r="I22" s="104"/>
      <c r="J22" s="45"/>
      <c r="K22" s="1"/>
    </row>
  </sheetData>
  <phoneticPr fontId="2" type="noConversion"/>
  <dataValidations count="3">
    <dataValidation type="list" allowBlank="1" showInputMessage="1" showErrorMessage="1" sqref="J3:J22">
      <formula1>"да"</formula1>
    </dataValidation>
    <dataValidation type="list" allowBlank="1" showInputMessage="1" showErrorMessage="1" errorTitle="Ошибка выбора" error="Выберите тип представителя из списка." sqref="B3:B22">
      <formula1>INDIRECT("Люди[Тип]")</formula1>
    </dataValidation>
    <dataValidation type="date" operator="greaterThan" allowBlank="1" showInputMessage="1" showErrorMessage="1" sqref="H3:H22 I3:I22">
      <formula1>36892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K2"/>
  <sheetViews>
    <sheetView zoomScaleNormal="100" workbookViewId="0">
      <selection activeCell="O16" sqref="O16"/>
    </sheetView>
  </sheetViews>
  <sheetFormatPr defaultRowHeight="15.75" x14ac:dyDescent="0.25"/>
  <cols>
    <col min="1" max="1" width="6.625" bestFit="1" customWidth="1"/>
    <col min="2" max="2" width="8.125" bestFit="1" customWidth="1"/>
    <col min="3" max="4" width="3.875" bestFit="1" customWidth="1"/>
    <col min="5" max="5" width="8.75" bestFit="1" customWidth="1"/>
    <col min="6" max="6" width="9.75" bestFit="1" customWidth="1"/>
    <col min="7" max="7" width="9.25" bestFit="1" customWidth="1"/>
    <col min="8" max="8" width="12.5" bestFit="1" customWidth="1"/>
    <col min="9" max="9" width="4.375" bestFit="1" customWidth="1"/>
    <col min="10" max="10" width="16.25" bestFit="1" customWidth="1"/>
    <col min="11" max="11" width="6" bestFit="1" customWidth="1"/>
  </cols>
  <sheetData>
    <row r="1" spans="1:11" x14ac:dyDescent="0.25">
      <c r="A1" t="s">
        <v>957</v>
      </c>
      <c r="B1" t="s">
        <v>958</v>
      </c>
      <c r="C1" t="s">
        <v>149</v>
      </c>
      <c r="D1" t="s">
        <v>150</v>
      </c>
      <c r="E1" t="s">
        <v>959</v>
      </c>
      <c r="F1" t="s">
        <v>65</v>
      </c>
      <c r="G1" t="s">
        <v>116</v>
      </c>
      <c r="H1" t="s">
        <v>117</v>
      </c>
      <c r="I1" t="s">
        <v>0</v>
      </c>
      <c r="J1" t="s">
        <v>960</v>
      </c>
      <c r="K1" t="s">
        <v>2</v>
      </c>
    </row>
    <row r="2" spans="1:11" x14ac:dyDescent="0.25">
      <c r="G2" s="2"/>
      <c r="H2" s="2"/>
    </row>
  </sheetData>
  <pageMargins left="0.7" right="0.7" top="0.75" bottom="0.75" header="0.3" footer="0.3"/>
  <pageSetup paperSize="9" scale="8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B2:N123"/>
  <sheetViews>
    <sheetView showGridLines="0" tabSelected="1" topLeftCell="A79" zoomScaleNormal="100" workbookViewId="0">
      <selection activeCell="J11" sqref="J11"/>
    </sheetView>
  </sheetViews>
  <sheetFormatPr defaultRowHeight="15.75" x14ac:dyDescent="0.25"/>
  <cols>
    <col min="1" max="1" width="5.625" customWidth="1"/>
    <col min="2" max="2" width="16.75" customWidth="1"/>
    <col min="3" max="3" width="25.75" customWidth="1"/>
    <col min="4" max="4" width="5.625" customWidth="1"/>
    <col min="5" max="5" width="10.625" customWidth="1"/>
    <col min="6" max="6" width="5.625" customWidth="1"/>
    <col min="7" max="7" width="10.625" customWidth="1"/>
    <col min="8" max="8" width="5.625" customWidth="1"/>
    <col min="9" max="9" width="10.625" customWidth="1"/>
    <col min="10" max="10" width="5.625" customWidth="1"/>
    <col min="11" max="11" width="11.625" customWidth="1"/>
    <col min="12" max="12" width="5.625" customWidth="1"/>
    <col min="13" max="13" width="11.625" customWidth="1"/>
    <col min="14" max="14" width="5.625" customWidth="1"/>
    <col min="15" max="15" width="6.625" customWidth="1"/>
  </cols>
  <sheetData>
    <row r="2" spans="2:14" ht="21" x14ac:dyDescent="0.35">
      <c r="B2" s="4" t="s">
        <v>76</v>
      </c>
    </row>
    <row r="3" spans="2:14" x14ac:dyDescent="0.25">
      <c r="B3" t="s">
        <v>78</v>
      </c>
    </row>
    <row r="4" spans="2:14" x14ac:dyDescent="0.25">
      <c r="B4" t="s">
        <v>77</v>
      </c>
    </row>
    <row r="6" spans="2:14" ht="22.5" hidden="1" customHeight="1" x14ac:dyDescent="0.25">
      <c r="B6" s="11" t="s">
        <v>83</v>
      </c>
      <c r="C6" s="12" t="s">
        <v>84</v>
      </c>
      <c r="D6" s="13" t="s">
        <v>85</v>
      </c>
      <c r="E6" s="12" t="s">
        <v>86</v>
      </c>
      <c r="F6" s="13" t="s">
        <v>87</v>
      </c>
      <c r="G6" s="12" t="s">
        <v>88</v>
      </c>
      <c r="H6" s="13" t="s">
        <v>89</v>
      </c>
      <c r="I6" s="12" t="s">
        <v>90</v>
      </c>
      <c r="J6" s="13" t="s">
        <v>91</v>
      </c>
      <c r="K6" s="12" t="s">
        <v>92</v>
      </c>
      <c r="L6" s="13" t="s">
        <v>93</v>
      </c>
      <c r="M6" s="12" t="s">
        <v>94</v>
      </c>
      <c r="N6" s="14" t="s">
        <v>95</v>
      </c>
    </row>
    <row r="7" spans="2:14" x14ac:dyDescent="0.25">
      <c r="B7" s="15"/>
      <c r="C7" s="16" t="s">
        <v>3</v>
      </c>
      <c r="D7" s="17"/>
      <c r="E7" s="16" t="s">
        <v>1</v>
      </c>
      <c r="F7" s="17"/>
      <c r="G7" s="16"/>
      <c r="H7" s="17"/>
      <c r="I7" s="16"/>
      <c r="J7" s="17"/>
      <c r="K7" s="16"/>
      <c r="L7" s="17"/>
      <c r="M7" s="16"/>
      <c r="N7" s="18"/>
    </row>
    <row r="10" spans="2:14" ht="21" x14ac:dyDescent="0.35">
      <c r="B10" s="4" t="s">
        <v>345</v>
      </c>
    </row>
    <row r="11" spans="2:14" x14ac:dyDescent="0.25">
      <c r="B11" t="s">
        <v>350</v>
      </c>
    </row>
    <row r="12" spans="2:14" x14ac:dyDescent="0.25">
      <c r="B12">
        <v>1</v>
      </c>
      <c r="C12" s="44" t="s">
        <v>351</v>
      </c>
    </row>
    <row r="13" spans="2:14" x14ac:dyDescent="0.25">
      <c r="B13">
        <v>2</v>
      </c>
      <c r="C13" s="44" t="s">
        <v>352</v>
      </c>
    </row>
    <row r="14" spans="2:14" x14ac:dyDescent="0.25">
      <c r="B14">
        <v>3</v>
      </c>
      <c r="C14" s="44" t="s">
        <v>353</v>
      </c>
      <c r="J14" s="44" t="s">
        <v>354</v>
      </c>
    </row>
    <row r="16" spans="2:14" x14ac:dyDescent="0.25">
      <c r="B16" t="s">
        <v>96</v>
      </c>
      <c r="C16" t="s">
        <v>306</v>
      </c>
    </row>
    <row r="22" spans="2:9" ht="21" x14ac:dyDescent="0.35">
      <c r="B22" s="4" t="s">
        <v>206</v>
      </c>
      <c r="I22" s="4" t="s">
        <v>274</v>
      </c>
    </row>
    <row r="23" spans="2:9" x14ac:dyDescent="0.25">
      <c r="B23" s="29" t="s">
        <v>123</v>
      </c>
      <c r="I23" t="s">
        <v>275</v>
      </c>
    </row>
    <row r="24" spans="2:9" x14ac:dyDescent="0.25">
      <c r="B24" t="s">
        <v>1260</v>
      </c>
    </row>
    <row r="25" spans="2:9" x14ac:dyDescent="0.25">
      <c r="C25" t="s">
        <v>121</v>
      </c>
      <c r="D25" s="50" t="s">
        <v>39</v>
      </c>
      <c r="I25" t="s">
        <v>276</v>
      </c>
    </row>
    <row r="26" spans="2:9" x14ac:dyDescent="0.25">
      <c r="C26" t="s">
        <v>122</v>
      </c>
      <c r="D26" s="50" t="s">
        <v>39</v>
      </c>
    </row>
    <row r="27" spans="2:9" x14ac:dyDescent="0.25">
      <c r="D27" s="69"/>
    </row>
    <row r="28" spans="2:9" x14ac:dyDescent="0.25">
      <c r="B28" s="29" t="s">
        <v>1273</v>
      </c>
    </row>
    <row r="29" spans="2:9" x14ac:dyDescent="0.25">
      <c r="D29" s="50" t="s">
        <v>1259</v>
      </c>
    </row>
    <row r="30" spans="2:9" ht="21" x14ac:dyDescent="0.35">
      <c r="B30" s="4"/>
    </row>
    <row r="31" spans="2:9" ht="21" x14ac:dyDescent="0.35">
      <c r="B31" s="29" t="s">
        <v>203</v>
      </c>
      <c r="I31" s="4" t="s">
        <v>277</v>
      </c>
    </row>
    <row r="32" spans="2:9" x14ac:dyDescent="0.25">
      <c r="C32" t="s">
        <v>121</v>
      </c>
      <c r="D32" s="50" t="s">
        <v>39</v>
      </c>
      <c r="I32" t="s">
        <v>242</v>
      </c>
    </row>
    <row r="33" spans="2:9" x14ac:dyDescent="0.25">
      <c r="C33" t="s">
        <v>122</v>
      </c>
      <c r="D33" s="50" t="s">
        <v>39</v>
      </c>
      <c r="I33" t="s">
        <v>243</v>
      </c>
    </row>
    <row r="35" spans="2:9" x14ac:dyDescent="0.25">
      <c r="B35" s="29" t="s">
        <v>1159</v>
      </c>
      <c r="D35" s="50" t="s">
        <v>39</v>
      </c>
    </row>
    <row r="36" spans="2:9" x14ac:dyDescent="0.25">
      <c r="B36" t="str">
        <f>IF(НАСТР_мат_АООК="да","в АООК будут перечислены все материалы из АОСР","в АООК будет фраза 'Информация указана в АОСР, перечисленных в п.3'")</f>
        <v>в АООК будут перечислены все материалы из АОСР</v>
      </c>
    </row>
    <row r="38" spans="2:9" x14ac:dyDescent="0.25">
      <c r="B38" s="29" t="s">
        <v>197</v>
      </c>
      <c r="D38" s="50" t="s">
        <v>198</v>
      </c>
    </row>
    <row r="39" spans="2:9" x14ac:dyDescent="0.25">
      <c r="B39" t="str">
        <f>IF(НАСТР_АВК_в_АОСР="да","вместе с материалами в АОСР будет указана ссылка на акт входного контроля","акт входного контроля не будет указан в АОСР")</f>
        <v>акт входного контроля не будет указан в АОСР</v>
      </c>
    </row>
    <row r="41" spans="2:9" x14ac:dyDescent="0.25">
      <c r="B41" s="29" t="s">
        <v>132</v>
      </c>
      <c r="D41" s="50" t="s">
        <v>39</v>
      </c>
    </row>
    <row r="42" spans="2:9" x14ac:dyDescent="0.25">
      <c r="B42" t="str">
        <f>IF(ФИО_подписантов="да","в актах будет указано краткое ФИО представителей","в актах будет указано полное ФИО представителей")</f>
        <v>в актах будет указано краткое ФИО представителей</v>
      </c>
    </row>
    <row r="44" spans="2:9" x14ac:dyDescent="0.25">
      <c r="B44" s="29" t="s">
        <v>202</v>
      </c>
      <c r="D44" s="50" t="s">
        <v>198</v>
      </c>
    </row>
    <row r="45" spans="2:9" x14ac:dyDescent="0.25">
      <c r="B45" t="str">
        <f>IF(НАСТР_Создать_ПДФ="да","будут создаваться документы word + PDF","будут создаваться только документы word")</f>
        <v>будут создаваться только документы word</v>
      </c>
    </row>
    <row r="47" spans="2:9" x14ac:dyDescent="0.25">
      <c r="B47" s="29" t="s">
        <v>204</v>
      </c>
      <c r="D47" s="50" t="s">
        <v>39</v>
      </c>
    </row>
    <row r="48" spans="2:9" x14ac:dyDescent="0.25">
      <c r="B48" s="29" t="s">
        <v>1004</v>
      </c>
      <c r="D48" s="50" t="s">
        <v>39</v>
      </c>
    </row>
    <row r="49" spans="2:4" x14ac:dyDescent="0.25">
      <c r="B49" t="s">
        <v>205</v>
      </c>
    </row>
    <row r="50" spans="2:4" x14ac:dyDescent="0.25">
      <c r="B50" s="51" t="str">
        <f>IF(НАСТР_названия_мат_прил="да","Бетон В25 — сертификат качества бетонной смеси 111-Б","сертификат качества бетонной смеси 111-Б")&amp;IF(НАСТР_страниц_прил="да"," на 1л.","")</f>
        <v>Бетон В25 — сертификат качества бетонной смеси 111-Б на 1л.</v>
      </c>
    </row>
    <row r="52" spans="2:4" ht="21" x14ac:dyDescent="0.35">
      <c r="B52" s="4" t="s">
        <v>241</v>
      </c>
    </row>
    <row r="53" spans="2:4" x14ac:dyDescent="0.25">
      <c r="B53" s="29" t="s">
        <v>358</v>
      </c>
      <c r="D53" s="50" t="s">
        <v>198</v>
      </c>
    </row>
    <row r="54" spans="2:4" x14ac:dyDescent="0.25">
      <c r="B54" t="str">
        <f>IF(НАСТР_удал_ГП="да","если представитель генподрядчика не указан, строка удалится из акта","если представитель генподрядчика не указан, строка не удалится из акта")</f>
        <v>если представитель генподрядчика не указан, строка не удалится из акта</v>
      </c>
    </row>
    <row r="56" spans="2:4" x14ac:dyDescent="0.25">
      <c r="B56" s="29" t="s">
        <v>357</v>
      </c>
      <c r="D56" s="50" t="s">
        <v>198</v>
      </c>
    </row>
    <row r="57" spans="2:4" x14ac:dyDescent="0.25">
      <c r="B57" t="str">
        <f>IF(НАСТР_удал_СКГП="да","если стройконтроль генподрядчика не указан, строка удалится из акта","если стройконтроль генподрядчика не указан, строка не удалится из акта")</f>
        <v>если стройконтроль генподрядчика не указан, строка не удалится из акта</v>
      </c>
    </row>
    <row r="59" spans="2:4" x14ac:dyDescent="0.25">
      <c r="B59" s="29" t="s">
        <v>238</v>
      </c>
      <c r="D59" s="50" t="s">
        <v>198</v>
      </c>
    </row>
    <row r="60" spans="2:4" x14ac:dyDescent="0.25">
      <c r="B60" t="str">
        <f>IF(НАСТР_удал_АН="да","если авторский надзор не указан, строка удалится из акта","если авторский надзор не указан, строка не удалится из акта")</f>
        <v>если авторский надзор не указан, строка не удалится из акта</v>
      </c>
    </row>
    <row r="62" spans="2:4" x14ac:dyDescent="0.25">
      <c r="B62" s="29" t="s">
        <v>239</v>
      </c>
      <c r="D62" s="50" t="s">
        <v>198</v>
      </c>
    </row>
    <row r="63" spans="2:4" x14ac:dyDescent="0.25">
      <c r="B63" t="str">
        <f>IF(НАСТР_удал_Подр="да","если представитель подрядчика не указан, строка удалится из акта","если представитель подрядчика не указан, строка не удалится из акта")</f>
        <v>если представитель подрядчика не указан, строка не удалится из акта</v>
      </c>
    </row>
    <row r="65" spans="2:4" x14ac:dyDescent="0.25">
      <c r="B65" s="29" t="s">
        <v>240</v>
      </c>
      <c r="D65" s="50" t="s">
        <v>198</v>
      </c>
    </row>
    <row r="66" spans="2:4" x14ac:dyDescent="0.25">
      <c r="B66" t="str">
        <f>IF(НАСТР_удал_Иное="да","если иное лицо не указано, строка удалится из акта","если иное лицо не указано, строка не удалится из акта")</f>
        <v>если иное лицо не указано, строка не удалится из акта</v>
      </c>
    </row>
    <row r="68" spans="2:4" ht="21" x14ac:dyDescent="0.35">
      <c r="B68" s="4" t="s">
        <v>308</v>
      </c>
    </row>
    <row r="69" spans="2:4" x14ac:dyDescent="0.25">
      <c r="B69" s="29" t="s">
        <v>309</v>
      </c>
      <c r="D69" s="50" t="s">
        <v>198</v>
      </c>
    </row>
    <row r="70" spans="2:4" x14ac:dyDescent="0.25">
      <c r="B70" t="str">
        <f>IF(НАСТР_АВК_из_актов&lt;&gt;"нет","в ЖВК попадут только материалы, добавленные в акты","в ЖВК попадут все матриалы из вкладки Материалы")</f>
        <v>в ЖВК попадут все матриалы из вкладки Материалы</v>
      </c>
    </row>
    <row r="72" spans="2:4" x14ac:dyDescent="0.25">
      <c r="B72" s="29" t="s">
        <v>310</v>
      </c>
    </row>
    <row r="73" spans="2:4" x14ac:dyDescent="0.25">
      <c r="B73" s="84" t="s">
        <v>1229</v>
      </c>
      <c r="C73" s="76"/>
    </row>
    <row r="75" spans="2:4" x14ac:dyDescent="0.25">
      <c r="B75" s="29" t="s">
        <v>1201</v>
      </c>
      <c r="D75" s="50" t="s">
        <v>198</v>
      </c>
    </row>
    <row r="80" spans="2:4" ht="21" x14ac:dyDescent="0.35">
      <c r="B80" s="4" t="s">
        <v>348</v>
      </c>
    </row>
    <row r="81" spans="2:3" x14ac:dyDescent="0.25">
      <c r="B81" s="51" t="s">
        <v>347</v>
      </c>
    </row>
    <row r="82" spans="2:3" x14ac:dyDescent="0.25">
      <c r="C82" s="29" t="s">
        <v>44</v>
      </c>
    </row>
    <row r="83" spans="2:3" x14ac:dyDescent="0.25">
      <c r="C83" t="s">
        <v>28</v>
      </c>
    </row>
    <row r="85" spans="2:3" x14ac:dyDescent="0.25">
      <c r="C85" t="s">
        <v>79</v>
      </c>
    </row>
    <row r="87" spans="2:3" ht="21" x14ac:dyDescent="0.35">
      <c r="B87" s="4" t="s">
        <v>349</v>
      </c>
    </row>
    <row r="88" spans="2:3" x14ac:dyDescent="0.25">
      <c r="C88" s="29" t="s">
        <v>44</v>
      </c>
    </row>
    <row r="89" spans="2:3" x14ac:dyDescent="0.25">
      <c r="C89" t="s">
        <v>112</v>
      </c>
    </row>
    <row r="90" spans="2:3" x14ac:dyDescent="0.25">
      <c r="C90" t="s">
        <v>28</v>
      </c>
    </row>
    <row r="91" spans="2:3" x14ac:dyDescent="0.25">
      <c r="C91" t="s">
        <v>100</v>
      </c>
    </row>
    <row r="92" spans="2:3" x14ac:dyDescent="0.25">
      <c r="C92" t="s">
        <v>79</v>
      </c>
    </row>
    <row r="94" spans="2:3" ht="21" x14ac:dyDescent="0.35">
      <c r="B94" s="4" t="s">
        <v>359</v>
      </c>
    </row>
    <row r="95" spans="2:3" x14ac:dyDescent="0.25">
      <c r="B95" t="s">
        <v>363</v>
      </c>
    </row>
    <row r="96" spans="2:3" x14ac:dyDescent="0.25">
      <c r="B96" t="s">
        <v>360</v>
      </c>
    </row>
    <row r="98" spans="2:4" x14ac:dyDescent="0.25">
      <c r="B98" s="29" t="s">
        <v>361</v>
      </c>
      <c r="D98" s="50" t="s">
        <v>1260</v>
      </c>
    </row>
    <row r="99" spans="2:4" x14ac:dyDescent="0.25">
      <c r="B99" t="str">
        <f>IF(НАСТР_блокировка_Актов="да","лист [Акты] будет автоматически блокироваться","лист [Акты] не будет автоматически блокироваться")</f>
        <v>лист [Акты] не будет автоматически блокироваться</v>
      </c>
    </row>
    <row r="101" spans="2:4" x14ac:dyDescent="0.25">
      <c r="B101" s="29" t="s">
        <v>362</v>
      </c>
      <c r="D101" s="50" t="s">
        <v>1260</v>
      </c>
    </row>
    <row r="102" spans="2:4" x14ac:dyDescent="0.25">
      <c r="B102" t="str">
        <f>IF(НАСТР_блокировка_Материалов="да","лист [Материалы] будет автоматически блокироваться","лист [Материалы] не будет автоматически блокироваться")</f>
        <v>лист [Материалы] не будет автоматически блокироваться</v>
      </c>
    </row>
    <row r="106" spans="2:4" ht="21" x14ac:dyDescent="0.35">
      <c r="B106" s="4" t="s">
        <v>105</v>
      </c>
    </row>
    <row r="107" spans="2:4" x14ac:dyDescent="0.25">
      <c r="B107" t="s">
        <v>355</v>
      </c>
    </row>
    <row r="108" spans="2:4" x14ac:dyDescent="0.25">
      <c r="B108" t="s">
        <v>356</v>
      </c>
    </row>
    <row r="110" spans="2:4" x14ac:dyDescent="0.25">
      <c r="B110" t="s">
        <v>101</v>
      </c>
      <c r="C110" t="s">
        <v>106</v>
      </c>
    </row>
    <row r="111" spans="2:4" x14ac:dyDescent="0.25">
      <c r="B111" t="s">
        <v>51</v>
      </c>
      <c r="C111" t="s">
        <v>102</v>
      </c>
    </row>
    <row r="112" spans="2:4" x14ac:dyDescent="0.25">
      <c r="B112" t="s">
        <v>103</v>
      </c>
      <c r="C112" t="s">
        <v>104</v>
      </c>
    </row>
    <row r="113" spans="2:3" x14ac:dyDescent="0.25">
      <c r="B113" t="s">
        <v>177</v>
      </c>
      <c r="C113" t="s">
        <v>102</v>
      </c>
    </row>
    <row r="114" spans="2:3" x14ac:dyDescent="0.25">
      <c r="B114" t="s">
        <v>178</v>
      </c>
      <c r="C114" t="s">
        <v>104</v>
      </c>
    </row>
    <row r="115" spans="2:3" x14ac:dyDescent="0.25">
      <c r="B115" t="s">
        <v>208</v>
      </c>
      <c r="C115" t="s">
        <v>209</v>
      </c>
    </row>
    <row r="116" spans="2:3" x14ac:dyDescent="0.25">
      <c r="B116" t="s">
        <v>210</v>
      </c>
      <c r="C116" t="s">
        <v>211</v>
      </c>
    </row>
    <row r="117" spans="2:3" x14ac:dyDescent="0.25">
      <c r="B117" t="s">
        <v>212</v>
      </c>
      <c r="C117" t="s">
        <v>213</v>
      </c>
    </row>
    <row r="118" spans="2:3" x14ac:dyDescent="0.25">
      <c r="B118" s="72" t="s">
        <v>273</v>
      </c>
      <c r="C118" s="72" t="s">
        <v>255</v>
      </c>
    </row>
    <row r="119" spans="2:3" x14ac:dyDescent="0.25">
      <c r="B119" s="72" t="s">
        <v>279</v>
      </c>
      <c r="C119" s="72" t="s">
        <v>278</v>
      </c>
    </row>
    <row r="120" spans="2:3" x14ac:dyDescent="0.25">
      <c r="B120" s="72" t="s">
        <v>281</v>
      </c>
      <c r="C120" s="72" t="s">
        <v>280</v>
      </c>
    </row>
    <row r="121" spans="2:3" x14ac:dyDescent="0.25">
      <c r="B121" s="72" t="s">
        <v>282</v>
      </c>
      <c r="C121" s="72" t="s">
        <v>283</v>
      </c>
    </row>
    <row r="122" spans="2:3" x14ac:dyDescent="0.25">
      <c r="B122" s="72" t="s">
        <v>292</v>
      </c>
      <c r="C122" s="72" t="s">
        <v>293</v>
      </c>
    </row>
    <row r="123" spans="2:3" x14ac:dyDescent="0.25">
      <c r="B123" s="72" t="s">
        <v>302</v>
      </c>
      <c r="C123" s="72" t="s">
        <v>301</v>
      </c>
    </row>
  </sheetData>
  <phoneticPr fontId="2" type="noConversion"/>
  <conditionalFormatting sqref="I31:I33">
    <cfRule type="duplicateValues" dxfId="317" priority="2"/>
  </conditionalFormatting>
  <conditionalFormatting sqref="I22:I25">
    <cfRule type="duplicateValues" dxfId="316" priority="4"/>
  </conditionalFormatting>
  <dataValidations count="6">
    <dataValidation type="list" allowBlank="1" showInputMessage="1" showErrorMessage="1" sqref="C7 E7 G7 I7 K7 M7">
      <formula1>INDIRECT("НомераАктов[Номера актов]")</formula1>
    </dataValidation>
    <dataValidation type="list" allowBlank="1" showInputMessage="1" showErrorMessage="1" sqref="D35 D32:D33 D44:D45 D38:D39 D41 D101 D75 D98 D53:D66 D47:D48 D25:D27">
      <formula1>"да,нет"</formula1>
    </dataValidation>
    <dataValidation type="list" allowBlank="1" showInputMessage="1" showErrorMessage="1" sqref="C83:C85">
      <formula1>"Сертификаты на материалы,Протоколы испытаний,Исполнительные схемы"</formula1>
    </dataValidation>
    <dataValidation type="list" allowBlank="1" showInputMessage="1" showErrorMessage="1" sqref="C89:C92">
      <formula1>"Акты,Сертификаты на материалы,Протоколы испытаний,Исполнительные схемы"</formula1>
    </dataValidation>
    <dataValidation type="list" allowBlank="1" showInputMessage="1" showErrorMessage="1" sqref="D69">
      <formula1>"да,нет,по номеру ИД"</formula1>
    </dataValidation>
    <dataValidation type="list" allowBlank="1" showInputMessage="1" showErrorMessage="1" sqref="D29">
      <formula1>"да, с сертификатами,да, без сертификатов,нет"</formula1>
    </dataValidation>
  </dataValidations>
  <hyperlinks>
    <hyperlink ref="C14" r:id="rId1" display="сервиса https://journal.agenerator.ru/ (укажите токен)"/>
    <hyperlink ref="C13" r:id="rId2" display="Google-таблицы (расшарьте таблицу и укажите ссылку)"/>
    <hyperlink ref="C12" r:id="rId3" display="графика Excel (укажите путь до графика)"/>
    <hyperlink ref="J14" r:id="rId4"/>
  </hyperlinks>
  <pageMargins left="0.7" right="0.7" top="0.75" bottom="0.75" header="0.3" footer="0.3"/>
  <pageSetup paperSize="9" orientation="portrait" r:id="rId5"/>
  <drawing r:id="rId6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1E68F5"/>
    <outlinePr summaryRight="0"/>
    <pageSetUpPr fitToPage="1"/>
  </sheetPr>
  <dimension ref="A1:AP6"/>
  <sheetViews>
    <sheetView showGridLines="0" zoomScaleNormal="100" workbookViewId="0">
      <pane xSplit="6" ySplit="2" topLeftCell="AD3" activePane="bottomRight" state="frozen"/>
      <selection activeCell="G14" sqref="G14"/>
      <selection pane="topRight" activeCell="G14" sqref="G14"/>
      <selection pane="bottomLeft" activeCell="G14" sqref="G14"/>
      <selection pane="bottomRight" activeCell="AF17" sqref="AF17"/>
    </sheetView>
  </sheetViews>
  <sheetFormatPr defaultColWidth="8.625" defaultRowHeight="15.75" x14ac:dyDescent="0.25"/>
  <cols>
    <col min="1" max="1" width="4.625" style="49" customWidth="1"/>
    <col min="2" max="2" width="6.75" style="49" customWidth="1"/>
    <col min="3" max="3" width="9.625" style="49" customWidth="1"/>
    <col min="4" max="4" width="8.125" style="49" customWidth="1"/>
    <col min="5" max="5" width="6.75" style="49" customWidth="1"/>
    <col min="6" max="6" width="33" style="49" customWidth="1"/>
    <col min="7" max="7" width="12.625" style="49" customWidth="1"/>
    <col min="8" max="8" width="7.625" style="49" customWidth="1"/>
    <col min="9" max="9" width="8.125" style="49" customWidth="1"/>
    <col min="10" max="10" width="11.25" style="49" customWidth="1"/>
    <col min="11" max="11" width="9.125" style="49" customWidth="1"/>
    <col min="12" max="12" width="10.625" style="49" customWidth="1"/>
    <col min="13" max="13" width="8.625" style="49" customWidth="1"/>
    <col min="14" max="14" width="9.625" style="49" customWidth="1"/>
    <col min="15" max="15" width="10.25" style="49" customWidth="1"/>
    <col min="16" max="16" width="33.625" style="49" customWidth="1"/>
    <col min="17" max="17" width="23.125" style="49" customWidth="1"/>
    <col min="18" max="18" width="8" style="49" customWidth="1"/>
    <col min="19" max="19" width="6.125" style="49" customWidth="1"/>
    <col min="20" max="20" width="8" style="49" customWidth="1"/>
    <col min="21" max="22" width="12.125" style="49" customWidth="1"/>
    <col min="23" max="23" width="13.125" style="49" customWidth="1"/>
    <col min="24" max="26" width="18.25" style="49" customWidth="1"/>
    <col min="27" max="27" width="10.125" style="49" customWidth="1"/>
    <col min="28" max="28" width="21.75" style="49" customWidth="1"/>
    <col min="29" max="30" width="10.125" style="49" customWidth="1"/>
    <col min="31" max="31" width="10" style="49" customWidth="1"/>
    <col min="32" max="32" width="42.125" style="49" customWidth="1"/>
    <col min="33" max="33" width="24" style="49" customWidth="1"/>
    <col min="34" max="34" width="39.25" style="103" customWidth="1"/>
    <col min="35" max="35" width="32.875" style="49" customWidth="1"/>
    <col min="36" max="36" width="41.125" style="49" customWidth="1"/>
    <col min="37" max="37" width="15.25" style="49" customWidth="1"/>
    <col min="38" max="38" width="6" style="49" customWidth="1"/>
    <col min="39" max="39" width="16.125" style="49" customWidth="1"/>
    <col min="40" max="40" width="10.625" style="49" customWidth="1"/>
    <col min="41" max="41" width="11.625" style="49" customWidth="1"/>
    <col min="42" max="42" width="15.625" style="49" customWidth="1"/>
    <col min="43" max="16384" width="8.625" style="49"/>
  </cols>
  <sheetData>
    <row r="1" spans="1:42" customFormat="1" ht="21" x14ac:dyDescent="0.35">
      <c r="A1" s="74" t="s">
        <v>112</v>
      </c>
      <c r="F1" s="105"/>
      <c r="G1" s="105"/>
      <c r="R1" s="74" t="s">
        <v>107</v>
      </c>
      <c r="U1" s="74" t="s">
        <v>30</v>
      </c>
      <c r="X1" s="74" t="s">
        <v>19</v>
      </c>
      <c r="AF1" s="74" t="s">
        <v>50</v>
      </c>
      <c r="AH1" s="1"/>
      <c r="AN1" s="74" t="s">
        <v>103</v>
      </c>
    </row>
    <row r="2" spans="1:42" s="142" customFormat="1" ht="38.25" x14ac:dyDescent="0.2">
      <c r="A2" s="136" t="s">
        <v>0</v>
      </c>
      <c r="B2" s="137" t="s">
        <v>1</v>
      </c>
      <c r="C2" s="137" t="s">
        <v>2</v>
      </c>
      <c r="D2" s="137" t="s">
        <v>3</v>
      </c>
      <c r="E2" s="137" t="s">
        <v>307</v>
      </c>
      <c r="F2" s="138" t="s">
        <v>4</v>
      </c>
      <c r="G2" s="139" t="s">
        <v>195</v>
      </c>
      <c r="H2" s="137" t="s">
        <v>5</v>
      </c>
      <c r="I2" s="137" t="s">
        <v>6</v>
      </c>
      <c r="J2" s="137" t="s">
        <v>7</v>
      </c>
      <c r="K2" s="137" t="s">
        <v>8</v>
      </c>
      <c r="L2" s="137" t="s">
        <v>9</v>
      </c>
      <c r="M2" s="137" t="s">
        <v>10</v>
      </c>
      <c r="N2" s="137" t="s">
        <v>11</v>
      </c>
      <c r="O2" s="140" t="s">
        <v>194</v>
      </c>
      <c r="P2" s="140" t="s">
        <v>17</v>
      </c>
      <c r="Q2" s="137" t="s">
        <v>18</v>
      </c>
      <c r="R2" s="141" t="s">
        <v>15</v>
      </c>
      <c r="S2" s="137" t="s">
        <v>103</v>
      </c>
      <c r="T2" s="137" t="s">
        <v>16</v>
      </c>
      <c r="U2" s="141" t="s">
        <v>12</v>
      </c>
      <c r="V2" s="137" t="s">
        <v>13</v>
      </c>
      <c r="W2" s="137" t="s">
        <v>14</v>
      </c>
      <c r="X2" s="141" t="s">
        <v>20</v>
      </c>
      <c r="Y2" s="137" t="s">
        <v>21</v>
      </c>
      <c r="Z2" s="137" t="s">
        <v>22</v>
      </c>
      <c r="AA2" s="137" t="s">
        <v>23</v>
      </c>
      <c r="AB2" s="137" t="s">
        <v>24</v>
      </c>
      <c r="AC2" s="137" t="s">
        <v>25</v>
      </c>
      <c r="AD2" s="137" t="s">
        <v>26</v>
      </c>
      <c r="AE2" s="137" t="s">
        <v>27</v>
      </c>
      <c r="AF2" s="141" t="s">
        <v>47</v>
      </c>
      <c r="AG2" s="137" t="s">
        <v>28</v>
      </c>
      <c r="AH2" s="137" t="s">
        <v>29</v>
      </c>
      <c r="AI2" s="137" t="s">
        <v>48</v>
      </c>
      <c r="AJ2" s="137" t="s">
        <v>49</v>
      </c>
      <c r="AK2" s="137" t="s">
        <v>127</v>
      </c>
      <c r="AL2" s="137" t="s">
        <v>74</v>
      </c>
      <c r="AM2" s="137" t="s">
        <v>71</v>
      </c>
      <c r="AN2" s="141" t="s">
        <v>119</v>
      </c>
      <c r="AO2" s="137" t="s">
        <v>120</v>
      </c>
      <c r="AP2" s="137" t="s">
        <v>118</v>
      </c>
    </row>
    <row r="3" spans="1:42" ht="64.5" x14ac:dyDescent="0.25">
      <c r="A3" s="143">
        <v>1</v>
      </c>
      <c r="B3" s="90">
        <v>1</v>
      </c>
      <c r="C3" s="91" t="s">
        <v>51</v>
      </c>
      <c r="D3" s="114"/>
      <c r="E3" s="115"/>
      <c r="F3" s="92" t="s">
        <v>1142</v>
      </c>
      <c r="G3" s="92"/>
      <c r="H3" s="114"/>
      <c r="I3" s="114"/>
      <c r="J3" s="91"/>
      <c r="K3" s="114"/>
      <c r="L3" s="114"/>
      <c r="M3" s="91" t="s">
        <v>1143</v>
      </c>
      <c r="N3" s="91" t="s">
        <v>1144</v>
      </c>
      <c r="O3" s="144" t="str">
        <f t="shared" ref="O3:O6" ca="1" si="0">мс1&amp;IF(ISBLANK(мс2),"",INDIRECT("т_База_актов[@"&amp;мс2&amp;"]"))&amp;мс3&amp;IF(ISBLANK(мс4),"",INDIRECT("т_База_актов[@"&amp;мс4&amp;"]"))&amp;мс5&amp;IF(ISBLANK(мс6),"",INDIRECT("т_База_актов[@"&amp;мс6&amp;"]"))&amp;мс7&amp;IF(ISBLANK(мс8),"",INDIRECT("т_База_актов[@"&amp;мс8&amp;"]"))&amp;мс9&amp;IF(ISBLANK(мс10),"",INDIRECT("т_База_актов[@"&amp;мс10&amp;"]"))&amp;мс11&amp;IF(ISBLANK(мс12),"",INDIRECT("т_База_актов[@"&amp;мс12&amp;"]"))&amp;мс13</f>
        <v>1</v>
      </c>
      <c r="P3" s="145" t="str">
        <f>TRIM(т_База_актов[[#This Row],[Наименование работ]]&amp;" "&amp;т_База_актов[[#This Row],[Уровень1]]&amp;" "&amp;т_База_актов[[#This Row],[Уровень2]]&amp;" "&amp;т_База_актов[[#This Row],[Уровень3]]&amp;" "&amp;т_База_актов[[#This Row],[Отм.]]&amp;" "&amp;т_База_актов[[#This Row],[В осях]]&amp;" "&amp;IF(ISBLANK(т_База_актов[[#This Row],[Объём]]),""," ("&amp;т_База_актов[[#This Row],[Объём]]&amp;" "&amp;т_База_актов[[#This Row],[Ед.изм.]]&amp;")"))</f>
        <v>Армирование вертикальных конструкций с опалубкой на отм. -0.100, +4.750 в осях 33-34/А'-Б</v>
      </c>
      <c r="Q3" s="91" t="s">
        <v>1145</v>
      </c>
      <c r="R3" s="116">
        <v>1</v>
      </c>
      <c r="S3" s="93"/>
      <c r="T3" s="94" t="s">
        <v>39</v>
      </c>
      <c r="U3" s="108">
        <v>73050</v>
      </c>
      <c r="V3" s="109">
        <v>73050</v>
      </c>
      <c r="W3" s="109">
        <v>73050</v>
      </c>
      <c r="X3" s="95" t="s">
        <v>1193</v>
      </c>
      <c r="Y3" s="91" t="s">
        <v>1194</v>
      </c>
      <c r="Z3" s="91" t="s">
        <v>1195</v>
      </c>
      <c r="AA3" s="91" t="s">
        <v>1196</v>
      </c>
      <c r="AB3" s="91" t="s">
        <v>1197</v>
      </c>
      <c r="AC3" s="91" t="s">
        <v>1198</v>
      </c>
      <c r="AD3" s="91"/>
      <c r="AE3" s="91"/>
      <c r="AF3" s="95" t="s">
        <v>1275</v>
      </c>
      <c r="AG3" s="91" t="s">
        <v>1277</v>
      </c>
      <c r="AH3" s="92" t="s">
        <v>1214</v>
      </c>
      <c r="AI3" s="92"/>
      <c r="AJ3" s="91" t="s">
        <v>1249</v>
      </c>
      <c r="AK3" s="96"/>
      <c r="AL3" s="97">
        <v>4</v>
      </c>
      <c r="AM3" s="117"/>
      <c r="AN3" s="118"/>
      <c r="AO3" s="97"/>
      <c r="AP3" s="114"/>
    </row>
    <row r="4" spans="1:42" ht="39" x14ac:dyDescent="0.25">
      <c r="A4" s="143">
        <v>2</v>
      </c>
      <c r="B4" s="90">
        <v>2</v>
      </c>
      <c r="C4" s="91" t="s">
        <v>51</v>
      </c>
      <c r="D4" s="114"/>
      <c r="E4" s="115"/>
      <c r="F4" s="92" t="s">
        <v>1145</v>
      </c>
      <c r="G4" s="92"/>
      <c r="H4" s="114"/>
      <c r="I4" s="114"/>
      <c r="J4" s="91"/>
      <c r="K4" s="114"/>
      <c r="L4" s="114"/>
      <c r="M4" s="91" t="s">
        <v>1143</v>
      </c>
      <c r="N4" s="91" t="s">
        <v>1144</v>
      </c>
      <c r="O4" s="144" t="str">
        <f t="shared" ca="1" si="0"/>
        <v>2</v>
      </c>
      <c r="P4" s="145" t="str">
        <f>TRIM(т_База_актов[[#This Row],[Наименование работ]]&amp;" "&amp;т_База_актов[[#This Row],[Уровень1]]&amp;" "&amp;т_База_актов[[#This Row],[Уровень2]]&amp;" "&amp;т_База_актов[[#This Row],[Уровень3]]&amp;" "&amp;т_База_актов[[#This Row],[Отм.]]&amp;" "&amp;т_База_актов[[#This Row],[В осях]]&amp;" "&amp;IF(ISBLANK(т_База_актов[[#This Row],[Объём]]),""," ("&amp;т_База_актов[[#This Row],[Объём]]&amp;" "&amp;т_База_актов[[#This Row],[Ед.изм.]]&amp;")"))</f>
        <v>Бетонирование вертикальных конструкций на отм. -0.100, +4.750 в осях 33-34/А'-Б</v>
      </c>
      <c r="Q4" s="91" t="s">
        <v>1147</v>
      </c>
      <c r="R4" s="116">
        <v>1</v>
      </c>
      <c r="S4" s="93"/>
      <c r="T4" s="94" t="s">
        <v>39</v>
      </c>
      <c r="U4" s="108">
        <v>73050</v>
      </c>
      <c r="V4" s="109">
        <v>73050</v>
      </c>
      <c r="W4" s="109">
        <v>73050</v>
      </c>
      <c r="X4" s="95" t="s">
        <v>1193</v>
      </c>
      <c r="Y4" s="91" t="s">
        <v>1194</v>
      </c>
      <c r="Z4" s="91" t="s">
        <v>1195</v>
      </c>
      <c r="AA4" s="91" t="s">
        <v>1196</v>
      </c>
      <c r="AB4" s="91" t="s">
        <v>1197</v>
      </c>
      <c r="AC4" s="91"/>
      <c r="AD4" s="91"/>
      <c r="AE4" s="91"/>
      <c r="AF4" s="95" t="s">
        <v>1258</v>
      </c>
      <c r="AG4" s="91" t="s">
        <v>1199</v>
      </c>
      <c r="AH4" s="92" t="s">
        <v>1224</v>
      </c>
      <c r="AI4" s="92"/>
      <c r="AJ4" s="91"/>
      <c r="AK4" s="96"/>
      <c r="AL4" s="97">
        <v>4</v>
      </c>
      <c r="AM4" s="117"/>
      <c r="AN4" s="118"/>
      <c r="AO4" s="97"/>
      <c r="AP4" s="114"/>
    </row>
    <row r="5" spans="1:42" ht="26.25" x14ac:dyDescent="0.25">
      <c r="A5" s="143">
        <v>3</v>
      </c>
      <c r="B5" s="90">
        <v>3</v>
      </c>
      <c r="C5" s="91" t="s">
        <v>51</v>
      </c>
      <c r="D5" s="114"/>
      <c r="E5" s="115"/>
      <c r="F5" s="92" t="s">
        <v>1142</v>
      </c>
      <c r="G5" s="92"/>
      <c r="H5" s="114"/>
      <c r="I5" s="114"/>
      <c r="J5" s="91"/>
      <c r="K5" s="114"/>
      <c r="L5" s="114"/>
      <c r="M5" s="91" t="s">
        <v>1149</v>
      </c>
      <c r="N5" s="91" t="s">
        <v>1150</v>
      </c>
      <c r="O5" s="144" t="str">
        <f t="shared" ca="1" si="0"/>
        <v>3</v>
      </c>
      <c r="P5" s="145" t="str">
        <f>TRIM(т_База_актов[[#This Row],[Наименование работ]]&amp;" "&amp;т_База_актов[[#This Row],[Уровень1]]&amp;" "&amp;т_База_актов[[#This Row],[Уровень2]]&amp;" "&amp;т_База_актов[[#This Row],[Уровень3]]&amp;" "&amp;т_База_актов[[#This Row],[Отм.]]&amp;" "&amp;т_База_актов[[#This Row],[В осях]]&amp;" "&amp;IF(ISBLANK(т_База_актов[[#This Row],[Объём]]),""," ("&amp;т_База_актов[[#This Row],[Объём]]&amp;" "&amp;т_База_актов[[#This Row],[Ед.изм.]]&amp;")"))</f>
        <v>Армирование вертикальных конструкций с опалубкой на отм. -0.100 в осях Г1-Г4/Д1-Д2</v>
      </c>
      <c r="Q5" s="91" t="s">
        <v>1145</v>
      </c>
      <c r="R5" s="116">
        <v>1</v>
      </c>
      <c r="S5" s="93"/>
      <c r="T5" s="94" t="s">
        <v>39</v>
      </c>
      <c r="U5" s="108">
        <v>73050</v>
      </c>
      <c r="V5" s="109">
        <v>73050</v>
      </c>
      <c r="W5" s="109">
        <v>73050</v>
      </c>
      <c r="X5" s="95" t="s">
        <v>1193</v>
      </c>
      <c r="Y5" s="91" t="s">
        <v>1194</v>
      </c>
      <c r="Z5" s="91" t="s">
        <v>1195</v>
      </c>
      <c r="AA5" s="91" t="s">
        <v>1196</v>
      </c>
      <c r="AB5" s="91" t="s">
        <v>1197</v>
      </c>
      <c r="AC5" s="91" t="s">
        <v>1198</v>
      </c>
      <c r="AD5" s="91"/>
      <c r="AE5" s="91"/>
      <c r="AF5" s="95" t="s">
        <v>1276</v>
      </c>
      <c r="AG5" s="91"/>
      <c r="AH5" s="92"/>
      <c r="AI5" s="92"/>
      <c r="AJ5" s="91"/>
      <c r="AK5" s="96"/>
      <c r="AL5" s="97">
        <v>4</v>
      </c>
      <c r="AM5" s="117"/>
      <c r="AN5" s="118"/>
      <c r="AO5" s="97"/>
      <c r="AP5" s="114"/>
    </row>
    <row r="6" spans="1:42" ht="26.25" x14ac:dyDescent="0.25">
      <c r="A6" s="143">
        <v>4</v>
      </c>
      <c r="B6" s="90">
        <v>4</v>
      </c>
      <c r="C6" s="91" t="s">
        <v>103</v>
      </c>
      <c r="D6" s="114"/>
      <c r="E6" s="115"/>
      <c r="F6" s="92" t="s">
        <v>1145</v>
      </c>
      <c r="G6" s="92"/>
      <c r="H6" s="114"/>
      <c r="I6" s="114"/>
      <c r="J6" s="91"/>
      <c r="K6" s="114"/>
      <c r="L6" s="114"/>
      <c r="M6" s="91" t="s">
        <v>1149</v>
      </c>
      <c r="N6" s="91" t="s">
        <v>1150</v>
      </c>
      <c r="O6" s="144" t="str">
        <f t="shared" ca="1" si="0"/>
        <v>4</v>
      </c>
      <c r="P6" s="145" t="str">
        <f>TRIM(т_База_актов[[#This Row],[Наименование работ]]&amp;" "&amp;т_База_актов[[#This Row],[Уровень1]]&amp;" "&amp;т_База_актов[[#This Row],[Уровень2]]&amp;" "&amp;т_База_актов[[#This Row],[Уровень3]]&amp;" "&amp;т_База_актов[[#This Row],[Отм.]]&amp;" "&amp;т_База_актов[[#This Row],[В осях]]&amp;" "&amp;IF(ISBLANK(т_База_актов[[#This Row],[Объём]]),""," ("&amp;т_База_актов[[#This Row],[Объём]]&amp;" "&amp;т_База_актов[[#This Row],[Ед.изм.]]&amp;")"))</f>
        <v>Бетонирование вертикальных конструкций на отм. -0.100 в осях Г1-Г4/Д1-Д2</v>
      </c>
      <c r="Q6" s="91" t="s">
        <v>1147</v>
      </c>
      <c r="R6" s="116">
        <v>1</v>
      </c>
      <c r="S6" s="93" t="s">
        <v>1270</v>
      </c>
      <c r="T6" s="94" t="s">
        <v>39</v>
      </c>
      <c r="U6" s="108">
        <v>73050</v>
      </c>
      <c r="V6" s="109">
        <v>73050</v>
      </c>
      <c r="W6" s="109">
        <v>73050</v>
      </c>
      <c r="X6" s="95" t="s">
        <v>1193</v>
      </c>
      <c r="Y6" s="91" t="s">
        <v>1194</v>
      </c>
      <c r="Z6" s="91" t="s">
        <v>1195</v>
      </c>
      <c r="AA6" s="91" t="s">
        <v>1196</v>
      </c>
      <c r="AB6" s="91" t="s">
        <v>1197</v>
      </c>
      <c r="AC6" s="91"/>
      <c r="AD6" s="91"/>
      <c r="AE6" s="91"/>
      <c r="AF6" s="95"/>
      <c r="AG6" s="91"/>
      <c r="AH6" s="92" t="s">
        <v>1221</v>
      </c>
      <c r="AI6" s="92"/>
      <c r="AJ6" s="91"/>
      <c r="AK6" s="96"/>
      <c r="AL6" s="97">
        <v>4</v>
      </c>
      <c r="AM6" s="117"/>
      <c r="AN6" s="118"/>
      <c r="AO6" s="97"/>
      <c r="AP6" s="114"/>
    </row>
  </sheetData>
  <sheetProtection formatCells="0" formatColumns="0" formatRows="0" insertColumns="0" insertRows="0" insertHyperlinks="0" deleteColumns="0" deleteRows="0" sort="0" autoFilter="0" pivotTables="0"/>
  <phoneticPr fontId="2" type="noConversion"/>
  <conditionalFormatting sqref="T2">
    <cfRule type="cellIs" dxfId="296" priority="2" stopIfTrue="1" operator="equal">
      <formula>"да"</formula>
    </cfRule>
  </conditionalFormatting>
  <conditionalFormatting sqref="T3:T6">
    <cfRule type="cellIs" dxfId="295" priority="3" stopIfTrue="1" operator="equal">
      <formula>"да"</formula>
    </cfRule>
  </conditionalFormatting>
  <dataValidations count="13">
    <dataValidation type="list" allowBlank="1" showInputMessage="1" showErrorMessage="1" promptTitle="Выберите акты для создания" prompt="Если стоит &quot;да&quot;, то акт будет создан при нажатии кнопки &quot;Создать все&quot;" sqref="T3:T6">
      <formula1>INDIRECT("да_нет[Да_нет]")</formula1>
    </dataValidation>
    <dataValidation type="list" allowBlank="1" showInputMessage="1" showErrorMessage="1" sqref="C3:C6">
      <formula1>INDIRECT("т_ШаблоныАктов[Шифр]")</formula1>
    </dataValidation>
    <dataValidation allowBlank="1" showInputMessage="1" showErrorMessage="1" promptTitle="Стройконтроль Заказчика" prompt="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" sqref="X3:X6"/>
    <dataValidation allowBlank="1" showInputMessage="1" showErrorMessage="1" promptTitle="Представитель Генподрядчика" prompt="Представитель лица, осуществляющего строительство, реконструкцию, капитальный ремонт" sqref="Y3:Y6"/>
    <dataValidation allowBlank="1" showInputMessage="1" showErrorMessage="1" promptTitle="Стройконтроль Генподрядчика" prompt="Представитель лица, осуществляющего строительство, реконструкцию, капитальный ремонт, по вопросам строительного контроля" sqref="Z3:Z6"/>
    <dataValidation allowBlank="1" showInputMessage="1" showErrorMessage="1" promptTitle="Авторский надзор" prompt="Представитель лица, осуществляющего подготовку проектной документации " sqref="AB3:AB6"/>
    <dataValidation allowBlank="1" showInputMessage="1" showErrorMessage="1" promptTitle="Представитель Подрядчика" prompt="Представитель лица, выполнившего работы, подлежащие освидетельствованию" sqref="AA3:AA6"/>
    <dataValidation allowBlank="1" showInputMessage="1" showErrorMessage="1" promptTitle="Иное лицо" prompt="Иное лицо" sqref="AC3:AE6"/>
    <dataValidation allowBlank="1" showInputMessage="1" showErrorMessage="1" promptTitle="Для АООК или АОУСИТО" prompt="Двойной клик для выбора связанных АОСР" sqref="S3:S6"/>
    <dataValidation allowBlank="1" showInputMessage="1" showErrorMessage="1" promptTitle="Комплект ИД" prompt="Укажите номер комплекта ИД, в который нужно включить этот акт" sqref="R3:R6"/>
    <dataValidation type="date" operator="greaterThan" allowBlank="1" showInputMessage="1" showErrorMessage="1" errorTitle="Ошибка в дате" error="Введите корректную дату" sqref="U3:W6">
      <formula1>36526</formula1>
    </dataValidation>
    <dataValidation allowBlank="1" showInputMessage="1" showErrorMessage="1" promptTitle="СП, ППР" prompt="Выберите из списка или введите вручную" sqref="AI3:AI6"/>
    <dataValidation type="whole" operator="greaterThan" allowBlank="1" showErrorMessage="1" errorTitle="Ошибка в id" error="Номер должен быть уникальным целым числом" promptTitle="Не вводите вручную" prompt="id устанавливается автоматически" sqref="A3:A6">
      <formula1>0</formula1>
    </dataValidation>
  </dataValidations>
  <pageMargins left="0.7" right="0.7" top="0.75" bottom="0.75" header="0.3" footer="0.3"/>
  <pageSetup paperSize="9" scale="16" fitToHeight="0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16"/>
  <sheetViews>
    <sheetView showGridLines="0" zoomScale="85" zoomScaleNormal="85" workbookViewId="0">
      <pane xSplit="6" ySplit="3" topLeftCell="G4" activePane="bottomRight" state="frozen"/>
      <selection activeCell="F5" sqref="F5"/>
      <selection pane="topRight" activeCell="F5" sqref="F5"/>
      <selection pane="bottomLeft" activeCell="F5" sqref="F5"/>
      <selection pane="bottomRight" activeCell="C5" sqref="C5"/>
    </sheetView>
  </sheetViews>
  <sheetFormatPr defaultRowHeight="15.75" x14ac:dyDescent="0.25"/>
  <cols>
    <col min="1" max="1" width="6.125" customWidth="1"/>
    <col min="2" max="2" width="17.125" style="49" customWidth="1"/>
    <col min="3" max="3" width="36.25" style="49" customWidth="1"/>
    <col min="4" max="4" width="11.625" style="89" customWidth="1"/>
    <col min="5" max="5" width="7.125" style="49" customWidth="1"/>
    <col min="6" max="6" width="9" style="49" customWidth="1"/>
    <col min="7" max="7" width="16.75" style="49" customWidth="1"/>
    <col min="8" max="8" width="22" style="49" customWidth="1"/>
    <col min="9" max="9" width="14.75" style="89" customWidth="1"/>
    <col min="10" max="10" width="8.625" style="49" customWidth="1"/>
    <col min="11" max="11" width="8.25" style="49" customWidth="1"/>
    <col min="12" max="12" width="13.875" style="49" customWidth="1"/>
    <col min="13" max="13" width="16.625" style="49" customWidth="1"/>
    <col min="14" max="14" width="16.125" style="49" customWidth="1"/>
    <col min="15" max="15" width="16.625" style="49" customWidth="1"/>
    <col min="16" max="16" width="13.625" style="49" customWidth="1"/>
    <col min="17" max="17" width="15.75" style="49" customWidth="1"/>
    <col min="18" max="18" width="13.75" style="49" customWidth="1"/>
    <col min="19" max="19" width="16.25" style="49" customWidth="1"/>
    <col min="20" max="20" width="12" customWidth="1"/>
    <col min="21" max="21" width="14.125" customWidth="1"/>
    <col min="22" max="22" width="9.75" customWidth="1"/>
    <col min="23" max="23" width="21.25" customWidth="1"/>
    <col min="24" max="24" width="11.75" customWidth="1"/>
    <col min="26" max="26" width="11.375" customWidth="1"/>
    <col min="27" max="27" width="14.75" customWidth="1"/>
    <col min="28" max="28" width="14.375" customWidth="1"/>
    <col min="29" max="29" width="13.75" customWidth="1"/>
    <col min="30" max="30" width="21.75" customWidth="1"/>
    <col min="31" max="31" width="11.25" customWidth="1"/>
    <col min="32" max="32" width="10.375" customWidth="1"/>
    <col min="33" max="33" width="27.875" customWidth="1"/>
    <col min="34" max="34" width="21.75" customWidth="1"/>
    <col min="35" max="35" width="13.75" customWidth="1"/>
    <col min="36" max="36" width="13.25" customWidth="1"/>
    <col min="37" max="37" width="27.75" customWidth="1"/>
    <col min="38" max="38" width="13.125" customWidth="1"/>
  </cols>
  <sheetData>
    <row r="1" spans="1:38" ht="21" x14ac:dyDescent="0.35">
      <c r="A1" s="74" t="s">
        <v>47</v>
      </c>
      <c r="B1"/>
      <c r="C1"/>
      <c r="D1" s="2"/>
      <c r="E1"/>
      <c r="F1"/>
      <c r="G1" s="74" t="s">
        <v>308</v>
      </c>
      <c r="H1"/>
      <c r="I1" s="2"/>
      <c r="J1"/>
      <c r="K1"/>
      <c r="L1"/>
      <c r="M1"/>
      <c r="N1"/>
      <c r="O1" s="74" t="s">
        <v>330</v>
      </c>
      <c r="P1"/>
      <c r="Q1"/>
      <c r="R1"/>
      <c r="S1"/>
      <c r="U1" s="74" t="s">
        <v>329</v>
      </c>
    </row>
    <row r="2" spans="1:38" ht="30.6" customHeight="1" x14ac:dyDescent="0.25">
      <c r="B2"/>
      <c r="C2"/>
      <c r="D2" s="2"/>
      <c r="E2"/>
      <c r="F2"/>
      <c r="G2" s="75" t="s">
        <v>331</v>
      </c>
      <c r="H2"/>
      <c r="I2" s="2"/>
      <c r="J2"/>
      <c r="K2"/>
      <c r="L2"/>
      <c r="M2"/>
      <c r="N2"/>
      <c r="O2" s="75" t="s">
        <v>332</v>
      </c>
      <c r="P2"/>
      <c r="Q2"/>
      <c r="R2"/>
      <c r="S2"/>
      <c r="U2" s="75" t="s">
        <v>333</v>
      </c>
    </row>
    <row r="3" spans="1:38" ht="54.6" customHeight="1" x14ac:dyDescent="0.25">
      <c r="A3" s="130" t="s">
        <v>41</v>
      </c>
      <c r="B3" s="130" t="s">
        <v>43</v>
      </c>
      <c r="C3" s="130" t="s">
        <v>42</v>
      </c>
      <c r="D3" s="131" t="s">
        <v>64</v>
      </c>
      <c r="E3" s="130" t="s">
        <v>5</v>
      </c>
      <c r="F3" s="130" t="s">
        <v>65</v>
      </c>
      <c r="G3" s="130" t="s">
        <v>44</v>
      </c>
      <c r="H3" s="130" t="s">
        <v>45</v>
      </c>
      <c r="I3" s="131" t="s">
        <v>46</v>
      </c>
      <c r="J3" s="130" t="s">
        <v>311</v>
      </c>
      <c r="K3" s="130" t="s">
        <v>72</v>
      </c>
      <c r="L3" s="130" t="s">
        <v>163</v>
      </c>
      <c r="M3" s="130" t="s">
        <v>34</v>
      </c>
      <c r="N3" s="130" t="s">
        <v>225</v>
      </c>
      <c r="O3" s="132" t="s">
        <v>138</v>
      </c>
      <c r="P3" s="130" t="s">
        <v>136</v>
      </c>
      <c r="Q3" s="130" t="s">
        <v>147</v>
      </c>
      <c r="R3" s="130" t="s">
        <v>148</v>
      </c>
      <c r="S3" s="130" t="s">
        <v>137</v>
      </c>
      <c r="T3" s="133" t="s">
        <v>135</v>
      </c>
      <c r="U3" s="134" t="s">
        <v>164</v>
      </c>
      <c r="V3" s="129" t="s">
        <v>312</v>
      </c>
      <c r="W3" s="129" t="s">
        <v>313</v>
      </c>
      <c r="X3" s="129" t="s">
        <v>314</v>
      </c>
      <c r="Y3" s="129" t="s">
        <v>315</v>
      </c>
      <c r="Z3" s="129" t="s">
        <v>316</v>
      </c>
      <c r="AA3" s="129" t="s">
        <v>317</v>
      </c>
      <c r="AB3" s="129" t="s">
        <v>318</v>
      </c>
      <c r="AC3" s="129" t="s">
        <v>319</v>
      </c>
      <c r="AD3" s="129" t="s">
        <v>320</v>
      </c>
      <c r="AE3" s="129" t="s">
        <v>321</v>
      </c>
      <c r="AF3" s="129" t="s">
        <v>322</v>
      </c>
      <c r="AG3" s="129" t="s">
        <v>323</v>
      </c>
      <c r="AH3" s="129" t="s">
        <v>324</v>
      </c>
      <c r="AI3" s="129" t="s">
        <v>325</v>
      </c>
      <c r="AJ3" s="129" t="s">
        <v>326</v>
      </c>
      <c r="AK3" s="129" t="s">
        <v>327</v>
      </c>
      <c r="AL3" s="129" t="s">
        <v>328</v>
      </c>
    </row>
    <row r="4" spans="1:38" ht="31.5" x14ac:dyDescent="0.25">
      <c r="A4" s="65">
        <v>1</v>
      </c>
      <c r="B4" s="103" t="s">
        <v>967</v>
      </c>
      <c r="C4" s="103" t="s">
        <v>1151</v>
      </c>
      <c r="D4" s="128">
        <v>73050</v>
      </c>
      <c r="E4" s="119"/>
      <c r="F4" s="119"/>
      <c r="G4" s="120" t="s">
        <v>964</v>
      </c>
      <c r="H4" s="120" t="s">
        <v>968</v>
      </c>
      <c r="I4" s="121">
        <v>73050</v>
      </c>
      <c r="J4" s="86" t="s">
        <v>39</v>
      </c>
      <c r="K4" s="122">
        <v>1</v>
      </c>
      <c r="L4" s="122"/>
      <c r="M4" s="103" t="s">
        <v>975</v>
      </c>
      <c r="N4" s="103"/>
      <c r="O4" s="123"/>
      <c r="P4" s="119"/>
      <c r="Q4" s="119"/>
      <c r="R4" s="119"/>
      <c r="S4" s="125"/>
      <c r="T4" s="49"/>
      <c r="U4" s="126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</row>
    <row r="5" spans="1:38" ht="31.5" x14ac:dyDescent="0.25">
      <c r="A5" s="65">
        <v>1</v>
      </c>
      <c r="B5" s="103" t="s">
        <v>967</v>
      </c>
      <c r="C5" s="103" t="s">
        <v>1151</v>
      </c>
      <c r="D5" s="128"/>
      <c r="E5" s="119"/>
      <c r="F5" s="119"/>
      <c r="G5" s="120" t="s">
        <v>1204</v>
      </c>
      <c r="H5" s="120" t="s">
        <v>1205</v>
      </c>
      <c r="I5" s="121">
        <v>73050</v>
      </c>
      <c r="J5" s="86"/>
      <c r="K5" s="122"/>
      <c r="L5" s="122"/>
      <c r="M5" s="103"/>
      <c r="N5" s="103"/>
      <c r="O5" s="123"/>
      <c r="P5" s="119"/>
      <c r="Q5" s="119"/>
      <c r="R5" s="119"/>
      <c r="S5" s="125"/>
      <c r="T5" s="49"/>
      <c r="U5" s="126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</row>
    <row r="6" spans="1:38" ht="31.5" x14ac:dyDescent="0.25">
      <c r="A6" s="68">
        <v>2</v>
      </c>
      <c r="B6" s="103" t="s">
        <v>967</v>
      </c>
      <c r="C6" s="103" t="s">
        <v>961</v>
      </c>
      <c r="D6" s="89">
        <v>73050</v>
      </c>
      <c r="G6" s="120" t="s">
        <v>964</v>
      </c>
      <c r="H6" s="120" t="s">
        <v>969</v>
      </c>
      <c r="I6" s="121">
        <v>73050</v>
      </c>
      <c r="J6" s="86" t="s">
        <v>39</v>
      </c>
      <c r="K6" s="122">
        <v>3</v>
      </c>
      <c r="L6" s="122">
        <f>т_Материалы[[#This Row],[id материала]]</f>
        <v>2</v>
      </c>
      <c r="M6" s="103" t="s">
        <v>976</v>
      </c>
      <c r="O6" s="124"/>
      <c r="T6" s="49"/>
      <c r="U6" s="126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</row>
    <row r="7" spans="1:38" ht="31.5" x14ac:dyDescent="0.25">
      <c r="A7" s="68">
        <v>3</v>
      </c>
      <c r="B7" s="103" t="s">
        <v>967</v>
      </c>
      <c r="C7" s="103" t="s">
        <v>962</v>
      </c>
      <c r="D7" s="89">
        <v>73050</v>
      </c>
      <c r="G7" s="120" t="s">
        <v>964</v>
      </c>
      <c r="H7" s="120" t="s">
        <v>970</v>
      </c>
      <c r="I7" s="121">
        <v>73050</v>
      </c>
      <c r="J7" s="86" t="s">
        <v>39</v>
      </c>
      <c r="K7" s="122">
        <v>1</v>
      </c>
      <c r="L7" s="122">
        <f>т_Материалы[[#This Row],[id материала]]</f>
        <v>3</v>
      </c>
      <c r="M7" s="103" t="s">
        <v>977</v>
      </c>
      <c r="O7" s="124"/>
      <c r="T7" s="49"/>
      <c r="U7" s="126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</row>
    <row r="8" spans="1:38" ht="31.5" x14ac:dyDescent="0.25">
      <c r="A8" s="68">
        <v>4</v>
      </c>
      <c r="B8" s="103" t="s">
        <v>967</v>
      </c>
      <c r="C8" s="103" t="s">
        <v>963</v>
      </c>
      <c r="D8" s="89">
        <v>73050</v>
      </c>
      <c r="G8" s="120" t="s">
        <v>964</v>
      </c>
      <c r="H8" s="120" t="s">
        <v>971</v>
      </c>
      <c r="I8" s="121">
        <v>73050</v>
      </c>
      <c r="J8" s="86" t="s">
        <v>39</v>
      </c>
      <c r="K8" s="122">
        <v>1</v>
      </c>
      <c r="L8" s="122">
        <f>т_Материалы[[#This Row],[id материала]]</f>
        <v>4</v>
      </c>
      <c r="M8" s="103" t="s">
        <v>979</v>
      </c>
      <c r="O8" s="124"/>
      <c r="T8" s="49"/>
      <c r="U8" s="126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</row>
    <row r="9" spans="1:38" x14ac:dyDescent="0.25">
      <c r="A9" s="68">
        <v>5</v>
      </c>
      <c r="B9" s="103" t="s">
        <v>1245</v>
      </c>
      <c r="C9" s="103" t="s">
        <v>1246</v>
      </c>
      <c r="D9" s="89">
        <v>73050</v>
      </c>
      <c r="G9" s="120" t="s">
        <v>1247</v>
      </c>
      <c r="H9" s="120" t="s">
        <v>1248</v>
      </c>
      <c r="I9" s="121">
        <v>73050</v>
      </c>
      <c r="J9" s="86" t="s">
        <v>39</v>
      </c>
      <c r="K9" s="122"/>
      <c r="L9" s="122">
        <f>т_Материалы[[#This Row],[id материала]]</f>
        <v>5</v>
      </c>
      <c r="M9" s="103"/>
      <c r="O9" s="124"/>
      <c r="T9" s="49"/>
      <c r="U9" s="126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</row>
    <row r="10" spans="1:38" x14ac:dyDescent="0.25">
      <c r="A10" s="68">
        <v>6</v>
      </c>
      <c r="B10" s="103" t="s">
        <v>1245</v>
      </c>
      <c r="C10" s="103" t="s">
        <v>1246</v>
      </c>
      <c r="D10" s="89">
        <v>73050</v>
      </c>
      <c r="G10" s="120" t="s">
        <v>1247</v>
      </c>
      <c r="H10" s="120" t="s">
        <v>1261</v>
      </c>
      <c r="I10" s="121"/>
      <c r="J10" s="135"/>
      <c r="K10" s="122"/>
      <c r="L10" s="122">
        <f>т_Материалы[[#This Row],[id материала]]</f>
        <v>6</v>
      </c>
      <c r="M10" s="103"/>
      <c r="O10" s="124"/>
      <c r="T10" s="49"/>
      <c r="U10" s="126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</row>
    <row r="11" spans="1:38" x14ac:dyDescent="0.25">
      <c r="A11" s="68">
        <v>7</v>
      </c>
      <c r="B11" s="103" t="s">
        <v>1245</v>
      </c>
      <c r="C11" s="103" t="s">
        <v>1246</v>
      </c>
      <c r="D11" s="89">
        <v>73050</v>
      </c>
      <c r="G11" s="120" t="s">
        <v>1247</v>
      </c>
      <c r="H11" s="120" t="s">
        <v>1262</v>
      </c>
      <c r="I11" s="121"/>
      <c r="J11" s="135"/>
      <c r="K11" s="122"/>
      <c r="L11" s="122">
        <f>т_Материалы[[#This Row],[id материала]]</f>
        <v>7</v>
      </c>
      <c r="M11" s="103"/>
      <c r="O11" s="124"/>
      <c r="T11" s="49"/>
      <c r="U11" s="126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</row>
    <row r="12" spans="1:38" x14ac:dyDescent="0.25">
      <c r="A12" s="68">
        <v>8</v>
      </c>
      <c r="B12" s="103" t="s">
        <v>1245</v>
      </c>
      <c r="C12" s="103" t="s">
        <v>1246</v>
      </c>
      <c r="D12" s="89">
        <v>73050</v>
      </c>
      <c r="G12" s="120" t="s">
        <v>1247</v>
      </c>
      <c r="H12" s="120" t="s">
        <v>1263</v>
      </c>
      <c r="I12" s="121"/>
      <c r="J12" s="135"/>
      <c r="K12" s="122"/>
      <c r="L12" s="122">
        <f>т_Материалы[[#This Row],[id материала]]</f>
        <v>8</v>
      </c>
      <c r="M12" s="103"/>
      <c r="O12" s="124"/>
      <c r="T12" s="49"/>
      <c r="U12" s="126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</row>
    <row r="13" spans="1:38" x14ac:dyDescent="0.25">
      <c r="A13" s="68">
        <v>9</v>
      </c>
      <c r="B13" s="103" t="s">
        <v>1245</v>
      </c>
      <c r="C13" s="103" t="s">
        <v>1246</v>
      </c>
      <c r="D13" s="89">
        <v>73050</v>
      </c>
      <c r="G13" s="120" t="s">
        <v>1247</v>
      </c>
      <c r="H13" s="120" t="s">
        <v>1264</v>
      </c>
      <c r="I13" s="121"/>
      <c r="J13" s="135"/>
      <c r="K13" s="122"/>
      <c r="L13" s="122">
        <f>т_Материалы[[#This Row],[id материала]]</f>
        <v>9</v>
      </c>
      <c r="M13" s="103"/>
      <c r="O13" s="124"/>
      <c r="T13" s="49"/>
      <c r="U13" s="126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</row>
    <row r="14" spans="1:38" x14ac:dyDescent="0.25">
      <c r="A14" s="68">
        <v>10</v>
      </c>
      <c r="B14" s="103" t="s">
        <v>1245</v>
      </c>
      <c r="C14" s="103" t="s">
        <v>1246</v>
      </c>
      <c r="D14" s="89">
        <v>73050</v>
      </c>
      <c r="G14" s="120" t="s">
        <v>1247</v>
      </c>
      <c r="H14" s="120" t="s">
        <v>1265</v>
      </c>
      <c r="I14" s="121"/>
      <c r="J14" s="135"/>
      <c r="K14" s="122"/>
      <c r="L14" s="122">
        <f>т_Материалы[[#This Row],[id материала]]</f>
        <v>10</v>
      </c>
      <c r="M14" s="103"/>
      <c r="O14" s="124"/>
      <c r="T14" s="49"/>
      <c r="U14" s="126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</row>
    <row r="15" spans="1:38" x14ac:dyDescent="0.25">
      <c r="A15" s="68">
        <v>11</v>
      </c>
      <c r="B15" s="103" t="s">
        <v>1245</v>
      </c>
      <c r="C15" s="103" t="s">
        <v>1246</v>
      </c>
      <c r="D15" s="89">
        <v>73050</v>
      </c>
      <c r="G15" s="120" t="s">
        <v>1247</v>
      </c>
      <c r="H15" s="120" t="s">
        <v>1266</v>
      </c>
      <c r="I15" s="121"/>
      <c r="J15" s="135"/>
      <c r="K15" s="122"/>
      <c r="L15" s="122">
        <f>т_Материалы[[#This Row],[id материала]]</f>
        <v>11</v>
      </c>
      <c r="M15" s="103"/>
      <c r="O15" s="124"/>
      <c r="T15" s="49"/>
      <c r="U15" s="126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38" x14ac:dyDescent="0.25">
      <c r="A16" s="68">
        <v>12</v>
      </c>
      <c r="B16" s="103" t="s">
        <v>1245</v>
      </c>
      <c r="C16" s="103" t="s">
        <v>1246</v>
      </c>
      <c r="D16" s="89">
        <v>73050</v>
      </c>
      <c r="G16" s="120" t="s">
        <v>1247</v>
      </c>
      <c r="H16" s="120" t="s">
        <v>1267</v>
      </c>
      <c r="I16" s="121"/>
      <c r="J16" s="135"/>
      <c r="K16" s="122"/>
      <c r="L16" s="122">
        <f>т_Материалы[[#This Row],[id материала]]</f>
        <v>12</v>
      </c>
      <c r="M16" s="103"/>
      <c r="O16" s="124"/>
      <c r="T16" s="49"/>
      <c r="U16" s="126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</row>
  </sheetData>
  <sheetProtection formatCells="0" formatColumns="0" formatRows="0" insertRows="0" insertHyperlinks="0" deleteRows="0" sort="0" autoFilter="0" pivotTables="0"/>
  <phoneticPr fontId="2" type="noConversion"/>
  <conditionalFormatting sqref="A4:AL16">
    <cfRule type="expression" dxfId="250" priority="1">
      <formula>--($A4=$A3)</formula>
    </cfRule>
  </conditionalFormatting>
  <dataValidations count="3">
    <dataValidation type="list" allowBlank="1" showInputMessage="1" showErrorMessage="1" sqref="J4:J16">
      <formula1>INDIRECT("да_нет[Да_нет]")</formula1>
    </dataValidation>
    <dataValidation operator="greaterThan" allowBlank="1" showInputMessage="1" showErrorMessage="1" sqref="I4:I16"/>
    <dataValidation type="date" operator="greaterThan" allowBlank="1" showInputMessage="1" showErrorMessage="1" errorTitle="Неверная дата" error="Введите корректную дату" sqref="D4:D16">
      <formula1>43831</formula1>
    </dataValidation>
  </dataValidations>
  <hyperlinks>
    <hyperlink ref="A9" r:id="rId1" display="Открыть папку"/>
    <hyperlink ref="A10" r:id="rId2" display="Открыть папку"/>
    <hyperlink ref="A11" r:id="rId3" display="Открыть папку"/>
    <hyperlink ref="A12" r:id="rId4" display="Открыть папку"/>
    <hyperlink ref="A13" r:id="rId5" display="Открыть папку"/>
    <hyperlink ref="A14" r:id="rId6" display="Открыть папку"/>
    <hyperlink ref="A15" r:id="rId7" display="Открыть папку"/>
    <hyperlink ref="A16" r:id="rId8" display="Открыть папку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6"/>
  <sheetViews>
    <sheetView showGridLines="0" zoomScaleNormal="100" workbookViewId="0">
      <pane ySplit="2" topLeftCell="A3" activePane="bottomLeft" state="frozen"/>
      <selection activeCell="F5" sqref="F5"/>
      <selection pane="bottomLeft" activeCell="D15" sqref="D15"/>
    </sheetView>
  </sheetViews>
  <sheetFormatPr defaultRowHeight="15.75" x14ac:dyDescent="0.25"/>
  <cols>
    <col min="1" max="1" width="7.625" customWidth="1"/>
    <col min="2" max="2" width="24.625" customWidth="1"/>
    <col min="3" max="3" width="15.625" customWidth="1"/>
    <col min="4" max="4" width="34.25" customWidth="1"/>
    <col min="5" max="5" width="13.5" style="2" customWidth="1"/>
    <col min="6" max="6" width="11.125" customWidth="1"/>
    <col min="7" max="7" width="25.625" customWidth="1"/>
  </cols>
  <sheetData>
    <row r="1" spans="1:7" ht="21" x14ac:dyDescent="0.35">
      <c r="A1" s="74" t="s">
        <v>28</v>
      </c>
    </row>
    <row r="2" spans="1:7" ht="31.5" x14ac:dyDescent="0.25">
      <c r="A2" s="5" t="s">
        <v>0</v>
      </c>
      <c r="B2" s="5" t="s">
        <v>44</v>
      </c>
      <c r="C2" s="5" t="s">
        <v>68</v>
      </c>
      <c r="D2" s="5" t="s">
        <v>69</v>
      </c>
      <c r="E2" s="87" t="s">
        <v>70</v>
      </c>
      <c r="F2" s="5" t="s">
        <v>72</v>
      </c>
      <c r="G2" s="5" t="s">
        <v>34</v>
      </c>
    </row>
    <row r="3" spans="1:7" ht="31.5" x14ac:dyDescent="0.25">
      <c r="A3" s="44">
        <v>1</v>
      </c>
      <c r="B3" t="s">
        <v>947</v>
      </c>
      <c r="C3" s="6" t="s">
        <v>1141</v>
      </c>
      <c r="D3" s="1" t="s">
        <v>1156</v>
      </c>
      <c r="E3" s="107">
        <v>73050</v>
      </c>
      <c r="F3" s="6">
        <v>4</v>
      </c>
      <c r="G3" t="s">
        <v>365</v>
      </c>
    </row>
    <row r="4" spans="1:7" ht="31.5" x14ac:dyDescent="0.25">
      <c r="A4" s="44">
        <v>2</v>
      </c>
      <c r="B4" t="s">
        <v>947</v>
      </c>
      <c r="C4" s="6" t="s">
        <v>1146</v>
      </c>
      <c r="D4" s="1" t="s">
        <v>1157</v>
      </c>
      <c r="E4" s="107">
        <v>73050</v>
      </c>
      <c r="F4" s="6">
        <v>2</v>
      </c>
      <c r="G4" t="s">
        <v>365</v>
      </c>
    </row>
    <row r="5" spans="1:7" ht="31.5" x14ac:dyDescent="0.25">
      <c r="A5" s="44">
        <v>3</v>
      </c>
      <c r="B5" t="s">
        <v>947</v>
      </c>
      <c r="C5" s="6" t="s">
        <v>1148</v>
      </c>
      <c r="D5" s="1" t="s">
        <v>1158</v>
      </c>
      <c r="E5" s="107">
        <v>73050</v>
      </c>
      <c r="F5" s="6">
        <v>14</v>
      </c>
      <c r="G5" t="s">
        <v>365</v>
      </c>
    </row>
    <row r="6" spans="1:7" x14ac:dyDescent="0.25">
      <c r="A6" s="44">
        <v>4</v>
      </c>
      <c r="C6" s="6"/>
      <c r="D6" s="1"/>
      <c r="E6" s="107"/>
      <c r="F6" s="6"/>
    </row>
  </sheetData>
  <dataValidations count="1">
    <dataValidation type="date" operator="greaterThanOrEqual" allowBlank="1" showInputMessage="1" showErrorMessage="1" prompt="Дата в формате ДД.ММ.ГГГГ" sqref="E3:E6">
      <formula1>36526</formula1>
    </dataValidation>
  </dataValidations>
  <hyperlinks>
    <hyperlink ref="A6" r:id="rId1" display="Открыть папку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G7"/>
  <sheetViews>
    <sheetView showGridLines="0" zoomScale="115" zoomScaleNormal="115" workbookViewId="0">
      <pane ySplit="2" topLeftCell="A3" activePane="bottomLeft" state="frozen"/>
      <selection activeCell="F5" sqref="F5"/>
      <selection pane="bottomLeft" activeCell="D6" sqref="D6"/>
    </sheetView>
  </sheetViews>
  <sheetFormatPr defaultRowHeight="15.75" x14ac:dyDescent="0.25"/>
  <cols>
    <col min="1" max="1" width="7.625" customWidth="1"/>
    <col min="2" max="2" width="24.625" customWidth="1"/>
    <col min="3" max="3" width="11.125" customWidth="1"/>
    <col min="4" max="4" width="39.25" customWidth="1"/>
    <col min="5" max="5" width="13.5" style="2" customWidth="1"/>
    <col min="6" max="6" width="20.625" customWidth="1"/>
    <col min="7" max="7" width="10.75" style="6" customWidth="1"/>
  </cols>
  <sheetData>
    <row r="1" spans="1:7" ht="21" x14ac:dyDescent="0.35">
      <c r="A1" s="74" t="s">
        <v>79</v>
      </c>
    </row>
    <row r="2" spans="1:7" ht="31.5" x14ac:dyDescent="0.25">
      <c r="A2" s="5" t="s">
        <v>0</v>
      </c>
      <c r="B2" s="5" t="s">
        <v>44</v>
      </c>
      <c r="C2" s="5" t="s">
        <v>68</v>
      </c>
      <c r="D2" s="5" t="s">
        <v>73</v>
      </c>
      <c r="E2" s="87" t="s">
        <v>70</v>
      </c>
      <c r="F2" s="5" t="s">
        <v>34</v>
      </c>
      <c r="G2" s="88" t="s">
        <v>72</v>
      </c>
    </row>
    <row r="3" spans="1:7" ht="31.5" x14ac:dyDescent="0.25">
      <c r="A3" s="44">
        <v>1</v>
      </c>
      <c r="B3" t="s">
        <v>214</v>
      </c>
      <c r="C3" s="6">
        <v>579</v>
      </c>
      <c r="D3" s="1" t="s">
        <v>950</v>
      </c>
      <c r="E3" s="2">
        <v>73050</v>
      </c>
      <c r="F3" t="s">
        <v>951</v>
      </c>
      <c r="G3" s="6">
        <v>1</v>
      </c>
    </row>
    <row r="4" spans="1:7" ht="31.5" x14ac:dyDescent="0.25">
      <c r="A4" s="44">
        <v>2</v>
      </c>
      <c r="B4" t="s">
        <v>214</v>
      </c>
      <c r="C4" s="6" t="s">
        <v>952</v>
      </c>
      <c r="D4" s="1" t="s">
        <v>950</v>
      </c>
      <c r="E4" s="2">
        <v>73050</v>
      </c>
      <c r="F4" t="s">
        <v>951</v>
      </c>
      <c r="G4" s="6">
        <v>1</v>
      </c>
    </row>
    <row r="5" spans="1:7" ht="31.5" x14ac:dyDescent="0.25">
      <c r="A5" s="44">
        <v>3</v>
      </c>
      <c r="B5" t="s">
        <v>214</v>
      </c>
      <c r="C5" s="6" t="s">
        <v>953</v>
      </c>
      <c r="D5" s="1" t="s">
        <v>950</v>
      </c>
      <c r="E5" s="2">
        <v>73050</v>
      </c>
      <c r="F5" t="s">
        <v>951</v>
      </c>
      <c r="G5" s="6">
        <v>1</v>
      </c>
    </row>
    <row r="6" spans="1:7" ht="31.5" x14ac:dyDescent="0.25">
      <c r="A6" s="44">
        <v>4</v>
      </c>
      <c r="B6" t="s">
        <v>214</v>
      </c>
      <c r="C6" s="6" t="s">
        <v>954</v>
      </c>
      <c r="D6" s="1" t="s">
        <v>950</v>
      </c>
      <c r="E6" s="2">
        <v>73050</v>
      </c>
      <c r="F6" t="s">
        <v>951</v>
      </c>
      <c r="G6" s="6">
        <v>1</v>
      </c>
    </row>
    <row r="7" spans="1:7" x14ac:dyDescent="0.25">
      <c r="A7" s="44">
        <v>5</v>
      </c>
      <c r="C7" s="6"/>
      <c r="D7" s="1"/>
    </row>
  </sheetData>
  <dataValidations count="1">
    <dataValidation type="date" operator="greaterThanOrEqual" allowBlank="1" showInputMessage="1" showErrorMessage="1" prompt="Дата в формате ДД.ММ.ГГГГ" sqref="E3:E7">
      <formula1>36526</formula1>
    </dataValidation>
  </dataValidations>
  <hyperlinks>
    <hyperlink ref="A7" r:id="rId1" display="Открыть папку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D14"/>
  <sheetViews>
    <sheetView showGridLines="0" zoomScaleNormal="100" workbookViewId="0">
      <pane ySplit="2" topLeftCell="A3" activePane="bottomLeft" state="frozen"/>
      <selection activeCell="F5" sqref="F5"/>
      <selection pane="bottomLeft" activeCell="D19" sqref="D19"/>
    </sheetView>
  </sheetViews>
  <sheetFormatPr defaultRowHeight="15.75" x14ac:dyDescent="0.25"/>
  <cols>
    <col min="1" max="1" width="6.125" customWidth="1"/>
    <col min="2" max="2" width="50.875" customWidth="1"/>
    <col min="3" max="3" width="11.125" customWidth="1"/>
    <col min="4" max="4" width="71.5" customWidth="1"/>
  </cols>
  <sheetData>
    <row r="1" spans="1:4" ht="21" x14ac:dyDescent="0.35">
      <c r="A1" s="74" t="s">
        <v>1206</v>
      </c>
    </row>
    <row r="2" spans="1:4" ht="29.45" customHeight="1" x14ac:dyDescent="0.25">
      <c r="A2" s="5" t="s">
        <v>0</v>
      </c>
      <c r="B2" s="5" t="s">
        <v>1208</v>
      </c>
      <c r="C2" s="5" t="s">
        <v>1215</v>
      </c>
      <c r="D2" s="5" t="s">
        <v>1216</v>
      </c>
    </row>
    <row r="3" spans="1:4" x14ac:dyDescent="0.25">
      <c r="A3" s="66">
        <v>1</v>
      </c>
      <c r="B3" s="3" t="s">
        <v>1207</v>
      </c>
      <c r="C3" s="127" t="s">
        <v>1213</v>
      </c>
      <c r="D3" t="s">
        <v>1209</v>
      </c>
    </row>
    <row r="4" spans="1:4" x14ac:dyDescent="0.25">
      <c r="A4" s="66">
        <v>2</v>
      </c>
      <c r="B4" s="3" t="s">
        <v>1210</v>
      </c>
      <c r="C4" s="127" t="s">
        <v>154</v>
      </c>
      <c r="D4" t="s">
        <v>1212</v>
      </c>
    </row>
    <row r="5" spans="1:4" x14ac:dyDescent="0.25">
      <c r="A5" s="66">
        <v>3</v>
      </c>
      <c r="B5" s="3" t="s">
        <v>1211</v>
      </c>
      <c r="C5" s="127"/>
    </row>
    <row r="6" spans="1:4" x14ac:dyDescent="0.25">
      <c r="A6" s="66">
        <v>4</v>
      </c>
      <c r="B6" s="3" t="s">
        <v>1207</v>
      </c>
      <c r="C6" s="127" t="s">
        <v>155</v>
      </c>
      <c r="D6" t="s">
        <v>1209</v>
      </c>
    </row>
    <row r="7" spans="1:4" x14ac:dyDescent="0.25">
      <c r="A7" s="66">
        <v>5</v>
      </c>
      <c r="B7" s="3"/>
      <c r="C7" s="127"/>
    </row>
    <row r="8" spans="1:4" x14ac:dyDescent="0.25">
      <c r="A8" s="66">
        <v>6</v>
      </c>
      <c r="B8" s="3"/>
      <c r="C8" s="127"/>
    </row>
    <row r="9" spans="1:4" x14ac:dyDescent="0.25">
      <c r="A9" s="66">
        <v>7</v>
      </c>
      <c r="B9" s="3"/>
      <c r="C9" s="127"/>
    </row>
    <row r="10" spans="1:4" x14ac:dyDescent="0.25">
      <c r="A10" s="66">
        <v>8</v>
      </c>
      <c r="B10" s="3"/>
      <c r="C10" s="127"/>
    </row>
    <row r="11" spans="1:4" x14ac:dyDescent="0.25">
      <c r="A11" s="66">
        <v>9</v>
      </c>
      <c r="B11" s="3"/>
      <c r="C11" s="127"/>
    </row>
    <row r="12" spans="1:4" x14ac:dyDescent="0.25">
      <c r="A12" s="66">
        <v>10</v>
      </c>
      <c r="B12" s="3"/>
      <c r="C12" s="127"/>
    </row>
    <row r="13" spans="1:4" x14ac:dyDescent="0.25">
      <c r="A13" s="66">
        <v>11</v>
      </c>
      <c r="B13" s="3"/>
      <c r="C13" s="127"/>
    </row>
    <row r="14" spans="1:4" x14ac:dyDescent="0.25">
      <c r="A14" s="66">
        <v>12</v>
      </c>
      <c r="B14" s="3"/>
      <c r="C14" s="127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C14"/>
  <sheetViews>
    <sheetView showGridLines="0" workbookViewId="0">
      <pane ySplit="4" topLeftCell="A5" activePane="bottomLeft" state="frozen"/>
      <selection activeCell="F5" sqref="F5"/>
      <selection pane="bottomLeft" activeCell="G24" sqref="G24"/>
    </sheetView>
  </sheetViews>
  <sheetFormatPr defaultRowHeight="15.75" x14ac:dyDescent="0.25"/>
  <cols>
    <col min="2" max="2" width="53.125" customWidth="1"/>
    <col min="3" max="3" width="14.625" customWidth="1"/>
    <col min="4" max="4" width="4.125" customWidth="1"/>
    <col min="15" max="15" width="12.5" customWidth="1"/>
    <col min="16" max="16" width="7.125" customWidth="1"/>
    <col min="17" max="17" width="11.75" bestFit="1" customWidth="1"/>
  </cols>
  <sheetData>
    <row r="1" spans="1:3" ht="25.35" hidden="1" customHeight="1" x14ac:dyDescent="0.25">
      <c r="C1" t="s">
        <v>15</v>
      </c>
    </row>
    <row r="2" spans="1:3" ht="28.5" customHeight="1" x14ac:dyDescent="0.35">
      <c r="B2" s="106" t="s">
        <v>196</v>
      </c>
      <c r="C2" s="59">
        <v>1</v>
      </c>
    </row>
    <row r="4" spans="1:3" ht="31.5" x14ac:dyDescent="0.25">
      <c r="A4" t="s">
        <v>0</v>
      </c>
      <c r="B4" t="s">
        <v>98</v>
      </c>
      <c r="C4" s="1" t="s">
        <v>99</v>
      </c>
    </row>
    <row r="5" spans="1:3" x14ac:dyDescent="0.25">
      <c r="A5" s="113">
        <v>1</v>
      </c>
      <c r="B5" t="s">
        <v>1152</v>
      </c>
      <c r="C5" s="10" t="s">
        <v>1153</v>
      </c>
    </row>
    <row r="6" spans="1:3" x14ac:dyDescent="0.25">
      <c r="A6" s="113">
        <v>2</v>
      </c>
      <c r="B6" t="s">
        <v>1154</v>
      </c>
      <c r="C6" s="10" t="s">
        <v>1155</v>
      </c>
    </row>
    <row r="7" spans="1:3" x14ac:dyDescent="0.25">
      <c r="A7" s="113">
        <v>3</v>
      </c>
      <c r="C7" s="10"/>
    </row>
    <row r="8" spans="1:3" x14ac:dyDescent="0.25">
      <c r="A8" s="113">
        <v>4</v>
      </c>
      <c r="C8" s="10"/>
    </row>
    <row r="9" spans="1:3" x14ac:dyDescent="0.25">
      <c r="A9" s="113">
        <v>5</v>
      </c>
      <c r="C9" s="10"/>
    </row>
    <row r="10" spans="1:3" x14ac:dyDescent="0.25">
      <c r="A10" s="113">
        <v>6</v>
      </c>
      <c r="C10" s="10"/>
    </row>
    <row r="11" spans="1:3" x14ac:dyDescent="0.25">
      <c r="A11" s="113">
        <v>7</v>
      </c>
      <c r="C11" s="10"/>
    </row>
    <row r="12" spans="1:3" x14ac:dyDescent="0.25">
      <c r="A12" s="113">
        <v>8</v>
      </c>
      <c r="C12" s="10"/>
    </row>
    <row r="13" spans="1:3" x14ac:dyDescent="0.25">
      <c r="A13" s="113">
        <v>9</v>
      </c>
      <c r="C13" s="10"/>
    </row>
    <row r="14" spans="1:3" x14ac:dyDescent="0.25">
      <c r="A14" s="113">
        <v>10</v>
      </c>
      <c r="C14" s="10"/>
    </row>
  </sheetData>
  <phoneticPr fontId="2" type="noConversion"/>
  <dataValidations count="1">
    <dataValidation type="list" allowBlank="1" showInputMessage="1" showErrorMessage="1" sqref="C2">
      <formula1>INDIRECT("тИД[id]")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theme="8" tint="0.59999389629810485"/>
  </sheetPr>
  <dimension ref="A1:L13"/>
  <sheetViews>
    <sheetView showGridLines="0" zoomScaleNormal="100" workbookViewId="0">
      <pane ySplit="3" topLeftCell="A4" activePane="bottomLeft" state="frozen"/>
      <selection activeCell="C23" sqref="C23"/>
      <selection pane="bottomLeft"/>
    </sheetView>
  </sheetViews>
  <sheetFormatPr defaultRowHeight="15.75" x14ac:dyDescent="0.25"/>
  <cols>
    <col min="1" max="1" width="6.125" customWidth="1"/>
    <col min="2" max="2" width="25.875" customWidth="1"/>
    <col min="3" max="3" width="13.75" customWidth="1"/>
    <col min="4" max="12" width="11.625" customWidth="1"/>
  </cols>
  <sheetData>
    <row r="1" spans="1:12" ht="21" x14ac:dyDescent="0.35">
      <c r="A1" s="74" t="s">
        <v>106</v>
      </c>
    </row>
    <row r="2" spans="1:12" x14ac:dyDescent="0.25">
      <c r="A2" s="29"/>
    </row>
    <row r="3" spans="1:12" ht="29.1" customHeight="1" x14ac:dyDescent="0.25">
      <c r="A3" t="s">
        <v>0</v>
      </c>
      <c r="B3" t="s">
        <v>244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K3" t="s">
        <v>253</v>
      </c>
      <c r="L3" t="s">
        <v>254</v>
      </c>
    </row>
    <row r="4" spans="1:12" x14ac:dyDescent="0.25">
      <c r="A4">
        <v>1</v>
      </c>
      <c r="C4" s="2"/>
      <c r="D4" s="1"/>
    </row>
    <row r="5" spans="1:12" x14ac:dyDescent="0.25">
      <c r="A5">
        <v>2</v>
      </c>
      <c r="C5" s="2"/>
      <c r="D5" s="1"/>
    </row>
    <row r="6" spans="1:12" x14ac:dyDescent="0.25">
      <c r="A6">
        <v>3</v>
      </c>
      <c r="C6" s="2"/>
      <c r="D6" s="1"/>
    </row>
    <row r="7" spans="1:12" x14ac:dyDescent="0.25">
      <c r="A7">
        <v>4</v>
      </c>
      <c r="C7" s="2"/>
      <c r="D7" s="1"/>
    </row>
    <row r="8" spans="1:12" x14ac:dyDescent="0.25">
      <c r="A8">
        <v>5</v>
      </c>
      <c r="C8" s="2"/>
      <c r="D8" s="1"/>
    </row>
    <row r="9" spans="1:12" x14ac:dyDescent="0.25">
      <c r="A9">
        <v>6</v>
      </c>
      <c r="C9" s="2"/>
      <c r="D9" s="1"/>
    </row>
    <row r="10" spans="1:12" x14ac:dyDescent="0.25">
      <c r="A10">
        <v>7</v>
      </c>
      <c r="C10" s="2"/>
      <c r="D10" s="1"/>
    </row>
    <row r="11" spans="1:12" x14ac:dyDescent="0.25">
      <c r="A11">
        <v>8</v>
      </c>
      <c r="C11" s="2"/>
      <c r="D11" s="1"/>
    </row>
    <row r="12" spans="1:12" x14ac:dyDescent="0.25">
      <c r="A12">
        <v>9</v>
      </c>
      <c r="C12" s="2"/>
      <c r="D12" s="1"/>
    </row>
    <row r="13" spans="1:12" x14ac:dyDescent="0.25">
      <c r="A13">
        <v>10</v>
      </c>
      <c r="C13" s="2"/>
      <c r="D13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theme="8" tint="0.59999389629810485"/>
    <outlinePr summaryRight="0"/>
  </sheetPr>
  <dimension ref="A1:P6"/>
  <sheetViews>
    <sheetView showGridLines="0" zoomScaleNormal="100" workbookViewId="0">
      <pane ySplit="3" topLeftCell="A4" activePane="bottomLeft" state="frozen"/>
      <selection activeCell="E6" sqref="E6"/>
      <selection pane="bottomLeft"/>
    </sheetView>
  </sheetViews>
  <sheetFormatPr defaultRowHeight="15.75" outlineLevelCol="1" x14ac:dyDescent="0.25"/>
  <cols>
    <col min="1" max="1" width="6.125" customWidth="1"/>
    <col min="2" max="2" width="34.75" customWidth="1"/>
    <col min="3" max="3" width="12.25" customWidth="1"/>
    <col min="4" max="4" width="31.125" customWidth="1" outlineLevel="1"/>
    <col min="5" max="5" width="8" customWidth="1" outlineLevel="1"/>
    <col min="6" max="8" width="27.25" customWidth="1" outlineLevel="1"/>
    <col min="9" max="9" width="15.75" customWidth="1" outlineLevel="1"/>
    <col min="10" max="10" width="18.5" customWidth="1" outlineLevel="1"/>
    <col min="11" max="11" width="15.125" customWidth="1"/>
    <col min="12" max="12" width="9.25" customWidth="1"/>
    <col min="13" max="13" width="9.5" customWidth="1"/>
    <col min="14" max="14" width="15.25" hidden="1" customWidth="1"/>
    <col min="15" max="15" width="9.75" hidden="1" customWidth="1"/>
    <col min="16" max="16" width="8.75" hidden="1" customWidth="1"/>
    <col min="17" max="17" width="8.25" customWidth="1"/>
    <col min="18" max="18" width="9.25" customWidth="1"/>
    <col min="19" max="19" width="7.375" customWidth="1"/>
    <col min="20" max="20" width="19.25" customWidth="1"/>
    <col min="21" max="21" width="9.25" customWidth="1"/>
    <col min="22" max="22" width="10.75" customWidth="1"/>
  </cols>
  <sheetData>
    <row r="1" spans="1:16" ht="21" x14ac:dyDescent="0.35">
      <c r="A1" s="74" t="s">
        <v>255</v>
      </c>
    </row>
    <row r="2" spans="1:16" ht="35.85" customHeight="1" x14ac:dyDescent="0.25">
      <c r="A2" s="29"/>
      <c r="B2" s="71" t="s">
        <v>366</v>
      </c>
    </row>
    <row r="3" spans="1:16" ht="29.1" customHeight="1" x14ac:dyDescent="0.25">
      <c r="A3" s="69" t="s">
        <v>0</v>
      </c>
      <c r="B3" t="s">
        <v>244</v>
      </c>
      <c r="C3" t="s">
        <v>245</v>
      </c>
      <c r="D3" s="70" t="s">
        <v>256</v>
      </c>
      <c r="E3" s="70" t="s">
        <v>257</v>
      </c>
      <c r="F3" s="70" t="s">
        <v>261</v>
      </c>
      <c r="G3" s="70" t="s">
        <v>262</v>
      </c>
      <c r="H3" s="70" t="s">
        <v>263</v>
      </c>
      <c r="I3" s="70" t="s">
        <v>264</v>
      </c>
      <c r="J3" s="70" t="s">
        <v>265</v>
      </c>
      <c r="K3" s="1" t="s">
        <v>266</v>
      </c>
      <c r="L3" s="1" t="s">
        <v>367</v>
      </c>
      <c r="M3" s="1" t="s">
        <v>368</v>
      </c>
      <c r="N3" s="67" t="s">
        <v>258</v>
      </c>
      <c r="O3" s="67" t="s">
        <v>259</v>
      </c>
      <c r="P3" s="67" t="s">
        <v>260</v>
      </c>
    </row>
    <row r="4" spans="1:16" ht="157.5" x14ac:dyDescent="0.25">
      <c r="A4" s="66">
        <v>1</v>
      </c>
      <c r="B4" s="1" t="s">
        <v>369</v>
      </c>
      <c r="C4" s="2">
        <v>73050</v>
      </c>
      <c r="D4" s="1" t="s">
        <v>364</v>
      </c>
      <c r="E4" t="str">
        <f t="shared" ref="E4" si="0">"Москва"</f>
        <v>Москва</v>
      </c>
      <c r="F4" s="1" t="s">
        <v>267</v>
      </c>
      <c r="G4" s="1" t="s">
        <v>268</v>
      </c>
      <c r="H4" s="1" t="s">
        <v>269</v>
      </c>
      <c r="I4" t="s">
        <v>270</v>
      </c>
      <c r="J4" t="s">
        <v>271</v>
      </c>
      <c r="K4" s="1" t="s">
        <v>272</v>
      </c>
      <c r="L4" s="1">
        <v>5</v>
      </c>
      <c r="M4" s="1">
        <v>40</v>
      </c>
      <c r="N4" s="48">
        <f>IF(допакт_Пролив[[#This Row],[Дата_акта]]="","",DAY(допакт_Пролив[[#This Row],[Дата_акта]]))</f>
        <v>31</v>
      </c>
      <c r="O4" s="48" t="str">
        <f>IF(допакт_Пролив[[#This Row],[Дата_акта]]="","",CHOOSE(MONTH(допакт_Пролив[[#This Row],[Дата_акта]]),"января","февраля","марта","апреля","мая","июня","июля","августа","сентября","октября","ноября","декабря"))</f>
        <v>декабря</v>
      </c>
      <c r="P4" s="48">
        <f>IF(допакт_Пролив[[#This Row],[Дата_акта]]="","",YEAR(допакт_Пролив[[#This Row],[Дата_акта]]))</f>
        <v>2099</v>
      </c>
    </row>
    <row r="5" spans="1:16" ht="157.5" x14ac:dyDescent="0.25">
      <c r="A5" s="66">
        <v>2</v>
      </c>
      <c r="B5" s="1"/>
      <c r="C5" s="2"/>
      <c r="D5" s="1" t="s">
        <v>364</v>
      </c>
      <c r="E5" t="str">
        <f>"Москва"</f>
        <v>Москва</v>
      </c>
      <c r="F5" s="1"/>
      <c r="G5" s="1"/>
      <c r="K5" s="1"/>
      <c r="L5" s="1"/>
      <c r="M5" s="1"/>
      <c r="N5" s="48" t="str">
        <f>IF(допакт_Пролив[[#This Row],[Дата_акта]]="","",DAY(допакт_Пролив[[#This Row],[Дата_акта]]))</f>
        <v/>
      </c>
      <c r="O5" s="48" t="str">
        <f>IF(допакт_Пролив[[#This Row],[Дата_акта]]="","",CHOOSE(MONTH(допакт_Пролив[[#This Row],[Дата_акта]]),"января","февраля","марта","апреля","мая","июня","июля","августа","сентября","октября","ноября","декабря"))</f>
        <v/>
      </c>
      <c r="P5" s="48" t="str">
        <f>IF(допакт_Пролив[[#This Row],[Дата_акта]]="","",YEAR(допакт_Пролив[[#This Row],[Дата_акта]]))</f>
        <v/>
      </c>
    </row>
    <row r="6" spans="1:16" ht="157.5" x14ac:dyDescent="0.25">
      <c r="A6" s="66">
        <v>3</v>
      </c>
      <c r="B6" s="1"/>
      <c r="C6" s="2"/>
      <c r="D6" s="1" t="s">
        <v>364</v>
      </c>
      <c r="E6" t="str">
        <f>"Москва"</f>
        <v>Москва</v>
      </c>
      <c r="F6" s="1"/>
      <c r="G6" s="1"/>
      <c r="K6" s="1"/>
      <c r="L6" s="1"/>
      <c r="M6" s="1"/>
      <c r="N6" s="48" t="str">
        <f>IF(допакт_Пролив[[#This Row],[Дата_акта]]="","",DAY(допакт_Пролив[[#This Row],[Дата_акта]]))</f>
        <v/>
      </c>
      <c r="O6" s="48" t="str">
        <f>IF(допакт_Пролив[[#This Row],[Дата_акта]]="","",CHOOSE(MONTH(допакт_Пролив[[#This Row],[Дата_акта]]),"января","февраля","марта","апреля","мая","июня","июля","августа","сентября","октября","ноября","декабря"))</f>
        <v/>
      </c>
      <c r="P6" s="48" t="str">
        <f>IF(допакт_Пролив[[#This Row],[Дата_акта]]="","",YEAR(допакт_Пролив[[#This Row],[Дата_акта]]))</f>
        <v/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8" tint="0.59999389629810485"/>
    <outlinePr summaryRight="0"/>
  </sheetPr>
  <dimension ref="A1:S8"/>
  <sheetViews>
    <sheetView showGridLines="0" zoomScaleNormal="100" workbookViewId="0">
      <pane ySplit="3" topLeftCell="A4" activePane="bottomLeft" state="frozen"/>
      <selection activeCell="E6" sqref="E6"/>
      <selection pane="bottomLeft"/>
    </sheetView>
  </sheetViews>
  <sheetFormatPr defaultRowHeight="15.75" outlineLevelCol="1" x14ac:dyDescent="0.25"/>
  <cols>
    <col min="1" max="1" width="4.5" customWidth="1"/>
    <col min="2" max="2" width="22.375" customWidth="1"/>
    <col min="3" max="3" width="12.25" customWidth="1"/>
    <col min="4" max="4" width="32.375" customWidth="1" outlineLevel="1"/>
    <col min="5" max="5" width="9.125" customWidth="1" outlineLevel="1"/>
    <col min="6" max="8" width="30" customWidth="1" outlineLevel="1"/>
    <col min="9" max="9" width="17.625" customWidth="1" outlineLevel="1"/>
    <col min="10" max="10" width="15.375" customWidth="1"/>
    <col min="11" max="11" width="19.375" customWidth="1"/>
    <col min="12" max="12" width="9.75" customWidth="1"/>
    <col min="14" max="14" width="9.75" customWidth="1"/>
    <col min="15" max="15" width="10.75" hidden="1" customWidth="1"/>
    <col min="16" max="16" width="9.5" hidden="1" customWidth="1"/>
    <col min="17" max="17" width="8.75" hidden="1" customWidth="1"/>
    <col min="18" max="19" width="0" hidden="1" customWidth="1"/>
    <col min="20" max="20" width="8.75" customWidth="1"/>
    <col min="21" max="21" width="7.25" customWidth="1"/>
    <col min="22" max="22" width="9.75" customWidth="1"/>
  </cols>
  <sheetData>
    <row r="1" spans="1:19" ht="21" x14ac:dyDescent="0.35">
      <c r="A1" s="74" t="s">
        <v>278</v>
      </c>
    </row>
    <row r="2" spans="1:19" ht="32.85" customHeight="1" x14ac:dyDescent="0.25">
      <c r="A2" s="29"/>
      <c r="B2" s="71" t="s">
        <v>366</v>
      </c>
    </row>
    <row r="3" spans="1:19" ht="29.1" customHeight="1" x14ac:dyDescent="0.25">
      <c r="A3" s="69" t="s">
        <v>0</v>
      </c>
      <c r="B3" t="s">
        <v>244</v>
      </c>
      <c r="C3" t="s">
        <v>245</v>
      </c>
      <c r="D3" s="70" t="s">
        <v>256</v>
      </c>
      <c r="E3" s="70" t="s">
        <v>257</v>
      </c>
      <c r="F3" s="70" t="s">
        <v>261</v>
      </c>
      <c r="G3" s="70" t="s">
        <v>262</v>
      </c>
      <c r="H3" s="70" t="s">
        <v>263</v>
      </c>
      <c r="I3" s="70" t="s">
        <v>265</v>
      </c>
      <c r="J3" s="1" t="s">
        <v>266</v>
      </c>
      <c r="K3" s="1" t="s">
        <v>370</v>
      </c>
      <c r="L3" s="1" t="s">
        <v>371</v>
      </c>
      <c r="M3" s="1" t="s">
        <v>372</v>
      </c>
      <c r="N3" s="1" t="s">
        <v>373</v>
      </c>
      <c r="O3" s="98" t="s">
        <v>374</v>
      </c>
      <c r="P3" s="98" t="s">
        <v>375</v>
      </c>
      <c r="Q3" s="67" t="s">
        <v>258</v>
      </c>
      <c r="R3" s="67" t="s">
        <v>259</v>
      </c>
      <c r="S3" s="67" t="s">
        <v>260</v>
      </c>
    </row>
    <row r="4" spans="1:19" ht="141.75" x14ac:dyDescent="0.25">
      <c r="A4" s="66">
        <v>1</v>
      </c>
      <c r="B4" s="1" t="s">
        <v>376</v>
      </c>
      <c r="C4" s="2">
        <v>73050</v>
      </c>
      <c r="D4" s="1" t="s">
        <v>364</v>
      </c>
      <c r="E4" t="str">
        <f t="shared" ref="E4" si="0">"Москва"</f>
        <v>Москва</v>
      </c>
      <c r="F4" s="1" t="s">
        <v>267</v>
      </c>
      <c r="G4" s="1" t="s">
        <v>268</v>
      </c>
      <c r="H4" s="1" t="s">
        <v>269</v>
      </c>
      <c r="I4" t="s">
        <v>271</v>
      </c>
      <c r="J4" t="s">
        <v>272</v>
      </c>
      <c r="K4" t="s">
        <v>377</v>
      </c>
      <c r="L4">
        <v>3</v>
      </c>
      <c r="M4">
        <v>40</v>
      </c>
      <c r="N4">
        <v>0</v>
      </c>
      <c r="O4" s="69">
        <f>ROUND(допакт_АГИ[[#This Row],[Давление_МПА]]*10.197162,2)</f>
        <v>30.59</v>
      </c>
      <c r="P4" s="69">
        <f>ROUND(допакт_АГИ[[#This Row],[Падение_Мпа]]*10.197162,2)</f>
        <v>0</v>
      </c>
      <c r="Q4" s="48">
        <f>IF(допакт_АГИ[[#This Row],[Дата_акта]]="","",DAY(допакт_АГИ[[#This Row],[Дата_акта]]))</f>
        <v>31</v>
      </c>
      <c r="R4" s="48" t="str">
        <f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f>
        <v>декабря</v>
      </c>
      <c r="S4" s="48">
        <f>IF(допакт_АГИ[[#This Row],[Дата_акта]]="","",YEAR(допакт_АГИ[[#This Row],[Дата_акта]]))</f>
        <v>2099</v>
      </c>
    </row>
    <row r="5" spans="1:19" ht="141.75" x14ac:dyDescent="0.25">
      <c r="A5" s="99">
        <v>4</v>
      </c>
      <c r="B5" s="1"/>
      <c r="C5" s="100"/>
      <c r="D5" s="1" t="s">
        <v>364</v>
      </c>
      <c r="E5" t="str">
        <f>"Москва"</f>
        <v>Москва</v>
      </c>
      <c r="F5" s="1"/>
      <c r="G5" s="1"/>
      <c r="H5" s="1"/>
      <c r="O5" s="101">
        <f>ROUND(допакт_АГИ[[#This Row],[Давление_МПА]]*10.197162,2)</f>
        <v>0</v>
      </c>
      <c r="P5" s="101">
        <f>ROUND(допакт_АГИ[[#This Row],[Падение_Мпа]]*10.197162,2)</f>
        <v>0</v>
      </c>
      <c r="Q5" s="85" t="str">
        <f>IF(допакт_АГИ[[#This Row],[Дата_акта]]="","",DAY(допакт_АГИ[[#This Row],[Дата_акта]]))</f>
        <v/>
      </c>
      <c r="R5" s="85" t="str">
        <f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f>
        <v/>
      </c>
      <c r="S5" s="85" t="str">
        <f>IF(допакт_АГИ[[#This Row],[Дата_акта]]="","",YEAR(допакт_АГИ[[#This Row],[Дата_акта]]))</f>
        <v/>
      </c>
    </row>
    <row r="6" spans="1:19" ht="141.75" x14ac:dyDescent="0.25">
      <c r="A6" s="99">
        <v>5</v>
      </c>
      <c r="B6" s="1"/>
      <c r="C6" s="100"/>
      <c r="D6" s="1" t="s">
        <v>364</v>
      </c>
      <c r="E6" t="str">
        <f>"Москва"</f>
        <v>Москва</v>
      </c>
      <c r="F6" s="1"/>
      <c r="G6" s="1"/>
      <c r="H6" s="1"/>
      <c r="O6" s="101">
        <f>ROUND(допакт_АГИ[[#This Row],[Давление_МПА]]*10.197162,2)</f>
        <v>0</v>
      </c>
      <c r="P6" s="101">
        <f>ROUND(допакт_АГИ[[#This Row],[Падение_Мпа]]*10.197162,2)</f>
        <v>0</v>
      </c>
      <c r="Q6" s="85" t="str">
        <f>IF(допакт_АГИ[[#This Row],[Дата_акта]]="","",DAY(допакт_АГИ[[#This Row],[Дата_акта]]))</f>
        <v/>
      </c>
      <c r="R6" s="85" t="str">
        <f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f>
        <v/>
      </c>
      <c r="S6" s="85" t="str">
        <f>IF(допакт_АГИ[[#This Row],[Дата_акта]]="","",YEAR(допакт_АГИ[[#This Row],[Дата_акта]]))</f>
        <v/>
      </c>
    </row>
    <row r="7" spans="1:19" ht="141.75" x14ac:dyDescent="0.25">
      <c r="A7" s="66">
        <v>2</v>
      </c>
      <c r="B7" s="1"/>
      <c r="C7" s="2"/>
      <c r="D7" s="1" t="s">
        <v>364</v>
      </c>
      <c r="E7" t="str">
        <f>"Москва"</f>
        <v>Москва</v>
      </c>
      <c r="F7" s="1"/>
      <c r="G7" s="1"/>
      <c r="O7" s="69">
        <f>ROUND(допакт_АГИ[[#This Row],[Давление_МПА]]*10.197162,2)</f>
        <v>0</v>
      </c>
      <c r="P7" s="69">
        <f>ROUND(допакт_АГИ[[#This Row],[Падение_Мпа]]*10.197162,2)</f>
        <v>0</v>
      </c>
      <c r="Q7" s="48" t="str">
        <f>IF(допакт_АГИ[[#This Row],[Дата_акта]]="","",DAY(допакт_АГИ[[#This Row],[Дата_акта]]))</f>
        <v/>
      </c>
      <c r="R7" s="48" t="str">
        <f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f>
        <v/>
      </c>
      <c r="S7" s="48" t="str">
        <f>IF(допакт_АГИ[[#This Row],[Дата_акта]]="","",YEAR(допакт_АГИ[[#This Row],[Дата_акта]]))</f>
        <v/>
      </c>
    </row>
    <row r="8" spans="1:19" ht="141.75" x14ac:dyDescent="0.25">
      <c r="A8" s="66">
        <v>3</v>
      </c>
      <c r="B8" s="1"/>
      <c r="C8" s="2"/>
      <c r="D8" s="1" t="s">
        <v>364</v>
      </c>
      <c r="E8" t="str">
        <f>"Москва"</f>
        <v>Москва</v>
      </c>
      <c r="F8" s="1"/>
      <c r="G8" s="1"/>
      <c r="O8" s="69">
        <f>ROUND(допакт_АГИ[[#This Row],[Давление_МПА]]*10.197162,2)</f>
        <v>0</v>
      </c>
      <c r="P8" s="69">
        <f>ROUND(допакт_АГИ[[#This Row],[Падение_Мпа]]*10.197162,2)</f>
        <v>0</v>
      </c>
      <c r="Q8" s="48" t="str">
        <f>IF(допакт_АГИ[[#This Row],[Дата_акта]]="","",DAY(допакт_АГИ[[#This Row],[Дата_акта]]))</f>
        <v/>
      </c>
      <c r="R8" s="48" t="str">
        <f>IF(допакт_АГИ[[#This Row],[Дата_акта]]="","",CHOOSE(MONTH(допакт_АГИ[[#This Row],[Дата_акта]]),"января","февраля","марта","апреля","мая","июня","июля","августа","сентября","октября","ноября","декабря"))</f>
        <v/>
      </c>
      <c r="S8" s="48" t="str">
        <f>IF(допакт_АГИ[[#This Row],[Дата_акта]]="","",YEAR(допакт_АГИ[[#This Row],[Дата_акта]]))</f>
        <v/>
      </c>
    </row>
  </sheetData>
  <dataValidations count="1">
    <dataValidation type="list" allowBlank="1" showInputMessage="1" showErrorMessage="1" sqref="K4:K8">
      <formula1>"манометрическим,гидростатическим"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tabColor theme="8" tint="0.59999389629810485"/>
    <outlinePr summaryRight="0"/>
  </sheetPr>
  <dimension ref="A1:N6"/>
  <sheetViews>
    <sheetView showGridLines="0" workbookViewId="0">
      <pane ySplit="3" topLeftCell="A4" activePane="bottomLeft" state="frozen"/>
      <selection activeCell="E6" sqref="E6"/>
      <selection pane="bottomLeft"/>
    </sheetView>
  </sheetViews>
  <sheetFormatPr defaultRowHeight="15.75" outlineLevelCol="1" x14ac:dyDescent="0.25"/>
  <cols>
    <col min="1" max="1" width="6.125" customWidth="1"/>
    <col min="2" max="2" width="26.125" customWidth="1"/>
    <col min="3" max="3" width="12.25" customWidth="1"/>
    <col min="4" max="4" width="31.125" customWidth="1" outlineLevel="1"/>
    <col min="5" max="5" width="8" customWidth="1" outlineLevel="1"/>
    <col min="6" max="6" width="29.75" customWidth="1" outlineLevel="1"/>
    <col min="7" max="7" width="27.125" customWidth="1" outlineLevel="1"/>
    <col min="8" max="8" width="22.25" customWidth="1" outlineLevel="1"/>
    <col min="9" max="9" width="15.75" customWidth="1" outlineLevel="1"/>
    <col min="10" max="10" width="18.5" customWidth="1" outlineLevel="1"/>
    <col min="11" max="11" width="15.125" customWidth="1"/>
    <col min="12" max="12" width="15.25" hidden="1" customWidth="1"/>
    <col min="13" max="13" width="9.75" hidden="1" customWidth="1"/>
    <col min="14" max="14" width="8.75" hidden="1" customWidth="1"/>
    <col min="15" max="15" width="8.25" customWidth="1"/>
    <col min="16" max="16" width="9.25" customWidth="1"/>
    <col min="17" max="17" width="7.375" customWidth="1"/>
    <col min="18" max="18" width="19.25" customWidth="1"/>
    <col min="19" max="19" width="9.25" customWidth="1"/>
    <col min="20" max="20" width="10.75" customWidth="1"/>
  </cols>
  <sheetData>
    <row r="1" spans="1:14" ht="21" x14ac:dyDescent="0.35">
      <c r="A1" s="74" t="s">
        <v>301</v>
      </c>
    </row>
    <row r="2" spans="1:14" ht="35.85" customHeight="1" x14ac:dyDescent="0.25">
      <c r="A2" s="29"/>
      <c r="B2" s="71" t="s">
        <v>303</v>
      </c>
    </row>
    <row r="3" spans="1:14" ht="29.1" customHeight="1" x14ac:dyDescent="0.25">
      <c r="A3" s="69" t="s">
        <v>0</v>
      </c>
      <c r="B3" t="s">
        <v>244</v>
      </c>
      <c r="C3" t="s">
        <v>245</v>
      </c>
      <c r="D3" s="70" t="s">
        <v>256</v>
      </c>
      <c r="E3" s="70" t="s">
        <v>257</v>
      </c>
      <c r="F3" s="70" t="s">
        <v>261</v>
      </c>
      <c r="G3" s="70" t="s">
        <v>262</v>
      </c>
      <c r="H3" s="70" t="s">
        <v>263</v>
      </c>
      <c r="I3" s="70" t="s">
        <v>264</v>
      </c>
      <c r="J3" s="70" t="s">
        <v>265</v>
      </c>
      <c r="K3" s="1" t="s">
        <v>304</v>
      </c>
      <c r="L3" s="67" t="s">
        <v>258</v>
      </c>
      <c r="M3" s="67" t="s">
        <v>259</v>
      </c>
      <c r="N3" s="67" t="s">
        <v>260</v>
      </c>
    </row>
    <row r="4" spans="1:14" ht="157.5" x14ac:dyDescent="0.25">
      <c r="A4" s="66">
        <v>1</v>
      </c>
      <c r="B4" s="1" t="s">
        <v>305</v>
      </c>
      <c r="C4" s="2">
        <v>73050</v>
      </c>
      <c r="D4" s="1" t="s">
        <v>364</v>
      </c>
      <c r="E4" t="str">
        <f t="shared" ref="E4" si="0">"Москва"</f>
        <v>Москва</v>
      </c>
      <c r="F4" s="1" t="s">
        <v>267</v>
      </c>
      <c r="G4" s="1" t="s">
        <v>268</v>
      </c>
      <c r="H4" s="1" t="s">
        <v>269</v>
      </c>
      <c r="I4" t="s">
        <v>270</v>
      </c>
      <c r="J4" t="s">
        <v>271</v>
      </c>
      <c r="K4" s="73">
        <v>5</v>
      </c>
      <c r="L4" s="48">
        <f>IF(допакт_АИИО[[#This Row],[Дата_акта]]="","",DAY(допакт_АИИО[[#This Row],[Дата_акта]]))</f>
        <v>31</v>
      </c>
      <c r="M4" s="48" t="str">
        <f>IF(допакт_АИИО[[#This Row],[Дата_акта]]="","",CHOOSE(MONTH(допакт_АИИО[[#This Row],[Дата_акта]]),"января","февраля","марта","апреля","мая","июня","июля","августа","сентября","октября","ноября","декабря"))</f>
        <v>декабря</v>
      </c>
      <c r="N4" s="48">
        <f>IF(допакт_АИИО[[#This Row],[Дата_акта]]="","",YEAR(допакт_АИИО[[#This Row],[Дата_акта]]))</f>
        <v>2099</v>
      </c>
    </row>
    <row r="5" spans="1:14" ht="157.5" x14ac:dyDescent="0.25">
      <c r="A5" s="66">
        <v>2</v>
      </c>
      <c r="B5" s="1"/>
      <c r="C5" s="2"/>
      <c r="D5" s="1" t="s">
        <v>364</v>
      </c>
      <c r="E5" t="str">
        <f>"Москва"</f>
        <v>Москва</v>
      </c>
      <c r="F5" s="1"/>
      <c r="G5" s="1"/>
      <c r="K5" s="73"/>
      <c r="L5" s="48" t="str">
        <f>IF(допакт_АИИО[[#This Row],[Дата_акта]]="","",DAY(допакт_АИИО[[#This Row],[Дата_акта]]))</f>
        <v/>
      </c>
      <c r="M5" s="48" t="str">
        <f>IF(допакт_АИИО[[#This Row],[Дата_акта]]="","",CHOOSE(MONTH(допакт_АИИО[[#This Row],[Дата_акта]]),"января","февраля","марта","апреля","мая","июня","июля","августа","сентября","октября","ноября","декабря"))</f>
        <v/>
      </c>
      <c r="N5" s="48" t="str">
        <f>IF(допакт_АИИО[[#This Row],[Дата_акта]]="","",YEAR(допакт_АИИО[[#This Row],[Дата_акта]]))</f>
        <v/>
      </c>
    </row>
    <row r="6" spans="1:14" ht="157.5" x14ac:dyDescent="0.25">
      <c r="A6" s="66">
        <v>3</v>
      </c>
      <c r="B6" s="1"/>
      <c r="C6" s="2"/>
      <c r="D6" s="1" t="s">
        <v>364</v>
      </c>
      <c r="E6" t="str">
        <f>"Москва"</f>
        <v>Москва</v>
      </c>
      <c r="F6" s="1"/>
      <c r="G6" s="1"/>
      <c r="K6" s="73"/>
      <c r="L6" s="48" t="str">
        <f>IF(допакт_АИИО[[#This Row],[Дата_акта]]="","",DAY(допакт_АИИО[[#This Row],[Дата_акта]]))</f>
        <v/>
      </c>
      <c r="M6" s="48" t="str">
        <f>IF(допакт_АИИО[[#This Row],[Дата_акта]]="","",CHOOSE(MONTH(допакт_АИИО[[#This Row],[Дата_акта]]),"января","февраля","марта","апреля","мая","июня","июля","августа","сентября","октября","ноября","декабря"))</f>
        <v/>
      </c>
      <c r="N6" s="48" t="str">
        <f>IF(допакт_АИИО[[#This Row],[Дата_акта]]="","",YEAR(допакт_АИИО[[#This Row],[Дата_акта]]))</f>
        <v/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tabColor theme="8" tint="0.59999389629810485"/>
    <outlinePr summaryRight="0"/>
  </sheetPr>
  <dimension ref="A1:R6"/>
  <sheetViews>
    <sheetView showGridLines="0" workbookViewId="0">
      <pane ySplit="3" topLeftCell="A4" activePane="bottomLeft" state="frozen"/>
      <selection activeCell="E6" sqref="E6"/>
      <selection pane="bottomLeft"/>
    </sheetView>
  </sheetViews>
  <sheetFormatPr defaultRowHeight="15.75" outlineLevelCol="1" x14ac:dyDescent="0.25"/>
  <cols>
    <col min="1" max="1" width="6.125" customWidth="1"/>
    <col min="2" max="2" width="22.375" customWidth="1"/>
    <col min="3" max="3" width="12.25" customWidth="1"/>
    <col min="4" max="4" width="31.125" customWidth="1" outlineLevel="1"/>
    <col min="5" max="5" width="8" customWidth="1" outlineLevel="1"/>
    <col min="6" max="9" width="15.75" customWidth="1" outlineLevel="1"/>
    <col min="10" max="10" width="18.5" customWidth="1" outlineLevel="1"/>
    <col min="11" max="11" width="15.125" customWidth="1"/>
    <col min="12" max="12" width="9.25" customWidth="1"/>
    <col min="13" max="15" width="12.25" customWidth="1"/>
    <col min="16" max="16" width="15.25" hidden="1" customWidth="1"/>
    <col min="17" max="17" width="9.75" hidden="1" customWidth="1"/>
    <col min="18" max="18" width="8.75" hidden="1" customWidth="1"/>
    <col min="19" max="19" width="8.25" customWidth="1"/>
    <col min="20" max="20" width="9.25" customWidth="1"/>
    <col min="21" max="21" width="7.375" customWidth="1"/>
    <col min="22" max="22" width="19.25" customWidth="1"/>
    <col min="23" max="23" width="9.25" customWidth="1"/>
    <col min="24" max="24" width="10.75" customWidth="1"/>
  </cols>
  <sheetData>
    <row r="1" spans="1:18" ht="21" x14ac:dyDescent="0.35">
      <c r="A1" s="74" t="s">
        <v>293</v>
      </c>
    </row>
    <row r="2" spans="1:18" ht="35.85" customHeight="1" x14ac:dyDescent="0.25">
      <c r="A2" s="29"/>
      <c r="B2" s="71" t="s">
        <v>294</v>
      </c>
    </row>
    <row r="3" spans="1:18" ht="29.1" customHeight="1" x14ac:dyDescent="0.25">
      <c r="A3" s="69" t="s">
        <v>0</v>
      </c>
      <c r="B3" t="s">
        <v>244</v>
      </c>
      <c r="C3" t="s">
        <v>245</v>
      </c>
      <c r="D3" s="70" t="s">
        <v>256</v>
      </c>
      <c r="E3" s="70" t="s">
        <v>257</v>
      </c>
      <c r="F3" s="70" t="s">
        <v>261</v>
      </c>
      <c r="G3" s="70" t="s">
        <v>262</v>
      </c>
      <c r="H3" s="70" t="s">
        <v>263</v>
      </c>
      <c r="I3" s="70" t="s">
        <v>264</v>
      </c>
      <c r="J3" s="70" t="s">
        <v>265</v>
      </c>
      <c r="K3" s="1" t="s">
        <v>295</v>
      </c>
      <c r="L3" s="1" t="s">
        <v>296</v>
      </c>
      <c r="M3" s="1" t="s">
        <v>297</v>
      </c>
      <c r="N3" s="1" t="s">
        <v>298</v>
      </c>
      <c r="O3" s="1" t="s">
        <v>299</v>
      </c>
      <c r="P3" s="67" t="s">
        <v>258</v>
      </c>
      <c r="Q3" s="67" t="s">
        <v>259</v>
      </c>
      <c r="R3" s="67" t="s">
        <v>260</v>
      </c>
    </row>
    <row r="4" spans="1:18" ht="63" x14ac:dyDescent="0.25">
      <c r="A4" s="66">
        <v>1</v>
      </c>
      <c r="B4" s="1" t="s">
        <v>300</v>
      </c>
      <c r="C4" s="2">
        <v>73050</v>
      </c>
      <c r="D4" t="s">
        <v>402</v>
      </c>
      <c r="E4" t="str">
        <f t="shared" ref="E4" si="0">"Москва"</f>
        <v>Москва</v>
      </c>
      <c r="F4" s="1" t="s">
        <v>267</v>
      </c>
      <c r="G4" s="1" t="s">
        <v>268</v>
      </c>
      <c r="H4" s="1" t="s">
        <v>269</v>
      </c>
      <c r="I4" t="s">
        <v>270</v>
      </c>
      <c r="J4" t="s">
        <v>271</v>
      </c>
      <c r="K4" s="1">
        <v>-15</v>
      </c>
      <c r="L4" s="1">
        <v>90</v>
      </c>
      <c r="M4" s="1">
        <v>65</v>
      </c>
      <c r="N4" s="1">
        <v>120</v>
      </c>
      <c r="O4" s="1">
        <v>24</v>
      </c>
      <c r="P4" s="48">
        <f>IF(допакт_ОтЭфД[[#This Row],[Дата_акта]]="","",DAY(допакт_ОтЭфД[[#This Row],[Дата_акта]]))</f>
        <v>31</v>
      </c>
      <c r="Q4" s="48" t="str">
        <f>IF(допакт_ОтЭфД[[#This Row],[Дата_акта]]="","",CHOOSE(MONTH(допакт_ОтЭфД[[#This Row],[Дата_акта]]),"января","февраля","марта","апреля","мая","июня","июля","августа","сентября","октября","ноября","декабря"))</f>
        <v>декабря</v>
      </c>
      <c r="R4" s="48">
        <f>IF(допакт_ОтЭфД[[#This Row],[Дата_акта]]="","",YEAR(допакт_ОтЭфД[[#This Row],[Дата_акта]]))</f>
        <v>2099</v>
      </c>
    </row>
    <row r="5" spans="1:18" x14ac:dyDescent="0.25">
      <c r="A5" s="66">
        <v>2</v>
      </c>
      <c r="B5" s="1"/>
      <c r="C5" s="2"/>
      <c r="D5" t="s">
        <v>402</v>
      </c>
      <c r="E5" t="str">
        <f>"Москва"</f>
        <v>Москва</v>
      </c>
      <c r="F5" s="1"/>
      <c r="G5" s="1"/>
      <c r="K5" s="1"/>
      <c r="L5" s="1"/>
      <c r="M5" s="1"/>
      <c r="N5" s="1"/>
      <c r="O5" s="1"/>
      <c r="P5" s="48" t="str">
        <f>IF(допакт_ОтЭфД[[#This Row],[Дата_акта]]="","",DAY(допакт_ОтЭфД[[#This Row],[Дата_акта]]))</f>
        <v/>
      </c>
      <c r="Q5" s="48" t="str">
        <f>IF(допакт_ОтЭфД[[#This Row],[Дата_акта]]="","",CHOOSE(MONTH(допакт_ОтЭфД[[#This Row],[Дата_акта]]),"января","февраля","марта","апреля","мая","июня","июля","августа","сентября","октября","ноября","декабря"))</f>
        <v/>
      </c>
      <c r="R5" s="48" t="str">
        <f>IF(допакт_ОтЭфД[[#This Row],[Дата_акта]]="","",YEAR(допакт_ОтЭфД[[#This Row],[Дата_акта]]))</f>
        <v/>
      </c>
    </row>
    <row r="6" spans="1:18" x14ac:dyDescent="0.25">
      <c r="A6" s="66">
        <v>3</v>
      </c>
      <c r="B6" s="1"/>
      <c r="C6" s="2"/>
      <c r="D6" t="s">
        <v>402</v>
      </c>
      <c r="E6" t="str">
        <f>"Москва"</f>
        <v>Москва</v>
      </c>
      <c r="F6" s="1"/>
      <c r="G6" s="1"/>
      <c r="K6" s="1"/>
      <c r="L6" s="1"/>
      <c r="M6" s="1"/>
      <c r="N6" s="1"/>
      <c r="O6" s="1"/>
      <c r="P6" s="48" t="str">
        <f>IF(допакт_ОтЭфД[[#This Row],[Дата_акта]]="","",DAY(допакт_ОтЭфД[[#This Row],[Дата_акта]]))</f>
        <v/>
      </c>
      <c r="Q6" s="48" t="str">
        <f>IF(допакт_ОтЭфД[[#This Row],[Дата_акта]]="","",CHOOSE(MONTH(допакт_ОтЭфД[[#This Row],[Дата_акта]]),"января","февраля","марта","апреля","мая","июня","июля","августа","сентября","октября","ноября","декабря"))</f>
        <v/>
      </c>
      <c r="R6" s="48" t="str">
        <f>IF(допакт_ОтЭфД[[#This Row],[Дата_акта]]="","",YEAR(допакт_ОтЭфД[[#This Row],[Дата_акта]]))</f>
        <v/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tabColor theme="8" tint="0.59999389629810485"/>
    <outlinePr summaryRight="0"/>
  </sheetPr>
  <dimension ref="A1:Q6"/>
  <sheetViews>
    <sheetView showGridLines="0" workbookViewId="0">
      <pane ySplit="3" topLeftCell="A4" activePane="bottomLeft" state="frozen"/>
      <selection activeCell="E6" sqref="E6"/>
      <selection pane="bottomLeft"/>
    </sheetView>
  </sheetViews>
  <sheetFormatPr defaultRowHeight="15.75" outlineLevelCol="1" x14ac:dyDescent="0.25"/>
  <cols>
    <col min="1" max="1" width="6.125" customWidth="1"/>
    <col min="2" max="2" width="22.375" customWidth="1"/>
    <col min="3" max="3" width="26.75" customWidth="1"/>
    <col min="4" max="4" width="12.25" customWidth="1"/>
    <col min="5" max="5" width="31.125" customWidth="1" outlineLevel="1"/>
    <col min="6" max="6" width="8" customWidth="1" outlineLevel="1"/>
    <col min="7" max="7" width="22" customWidth="1" outlineLevel="1"/>
    <col min="8" max="8" width="22.125" customWidth="1" outlineLevel="1"/>
    <col min="9" max="9" width="20.75" customWidth="1" outlineLevel="1"/>
    <col min="10" max="10" width="15.75" customWidth="1" outlineLevel="1"/>
    <col min="11" max="11" width="18.5" customWidth="1" outlineLevel="1"/>
    <col min="12" max="12" width="15.125" customWidth="1"/>
    <col min="13" max="13" width="9.25" customWidth="1"/>
    <col min="14" max="14" width="13.625" customWidth="1"/>
    <col min="15" max="15" width="9.125" hidden="1" customWidth="1"/>
    <col min="16" max="16" width="9.75" hidden="1" customWidth="1"/>
    <col min="17" max="17" width="8.75" hidden="1" customWidth="1"/>
    <col min="18" max="18" width="8.25" customWidth="1"/>
    <col min="19" max="19" width="9.25" customWidth="1"/>
    <col min="20" max="20" width="7.375" customWidth="1"/>
    <col min="21" max="21" width="19.25" customWidth="1"/>
    <col min="22" max="22" width="9.25" customWidth="1"/>
    <col min="23" max="23" width="10.75" customWidth="1"/>
  </cols>
  <sheetData>
    <row r="1" spans="1:17" ht="21" x14ac:dyDescent="0.35">
      <c r="A1" s="74" t="s">
        <v>283</v>
      </c>
    </row>
    <row r="2" spans="1:17" ht="35.85" customHeight="1" x14ac:dyDescent="0.25">
      <c r="A2" s="29"/>
      <c r="B2" s="71" t="s">
        <v>288</v>
      </c>
      <c r="C2" s="71"/>
    </row>
    <row r="3" spans="1:17" ht="29.1" customHeight="1" x14ac:dyDescent="0.25">
      <c r="A3" s="69" t="s">
        <v>0</v>
      </c>
      <c r="B3" t="s">
        <v>244</v>
      </c>
      <c r="C3" s="1" t="s">
        <v>291</v>
      </c>
      <c r="D3" t="s">
        <v>245</v>
      </c>
      <c r="E3" s="70" t="s">
        <v>256</v>
      </c>
      <c r="F3" s="70" t="s">
        <v>257</v>
      </c>
      <c r="G3" s="70" t="s">
        <v>261</v>
      </c>
      <c r="H3" s="70" t="s">
        <v>262</v>
      </c>
      <c r="I3" s="70" t="s">
        <v>263</v>
      </c>
      <c r="J3" s="70" t="s">
        <v>264</v>
      </c>
      <c r="K3" s="70" t="s">
        <v>265</v>
      </c>
      <c r="L3" s="1" t="s">
        <v>266</v>
      </c>
      <c r="M3" s="1" t="s">
        <v>284</v>
      </c>
      <c r="N3" s="1" t="s">
        <v>285</v>
      </c>
      <c r="O3" s="67" t="s">
        <v>258</v>
      </c>
      <c r="P3" s="67" t="s">
        <v>259</v>
      </c>
      <c r="Q3" s="67" t="s">
        <v>260</v>
      </c>
    </row>
    <row r="4" spans="1:17" ht="157.5" x14ac:dyDescent="0.25">
      <c r="A4" s="66">
        <v>1</v>
      </c>
      <c r="B4" s="1" t="s">
        <v>289</v>
      </c>
      <c r="C4" s="1" t="s">
        <v>290</v>
      </c>
      <c r="D4" s="2">
        <v>73050</v>
      </c>
      <c r="E4" s="1" t="s">
        <v>364</v>
      </c>
      <c r="F4" t="str">
        <f t="shared" ref="F4" si="0">"Москва"</f>
        <v>Москва</v>
      </c>
      <c r="G4" s="1" t="s">
        <v>267</v>
      </c>
      <c r="H4" s="1" t="s">
        <v>268</v>
      </c>
      <c r="I4" s="1" t="s">
        <v>269</v>
      </c>
      <c r="J4" t="s">
        <v>270</v>
      </c>
      <c r="K4" t="s">
        <v>271</v>
      </c>
      <c r="L4" s="1" t="s">
        <v>272</v>
      </c>
      <c r="M4" s="1" t="s">
        <v>287</v>
      </c>
      <c r="N4" s="1" t="s">
        <v>286</v>
      </c>
      <c r="O4" s="48">
        <f>IF(допакт_Промывка[[#This Row],[Дата_акта]]="","",DAY(допакт_Промывка[[#This Row],[Дата_акта]]))</f>
        <v>31</v>
      </c>
      <c r="P4" s="48" t="str">
        <f>IF(допакт_Промывка[[#This Row],[Дата_акта]]="","",CHOOSE(MONTH(допакт_Промывка[[#This Row],[Дата_акта]]),"января","февраля","марта","апреля","мая","июня","июля","августа","сентября","октября","ноября","декабря"))</f>
        <v>декабря</v>
      </c>
      <c r="Q4" s="48">
        <f>IF(допакт_Промывка[[#This Row],[Дата_акта]]="","",YEAR(допакт_Промывка[[#This Row],[Дата_акта]]))</f>
        <v>2099</v>
      </c>
    </row>
    <row r="5" spans="1:17" ht="157.5" x14ac:dyDescent="0.25">
      <c r="A5" s="66">
        <v>2</v>
      </c>
      <c r="B5" s="1"/>
      <c r="C5" s="1"/>
      <c r="D5" s="2"/>
      <c r="E5" s="1" t="s">
        <v>364</v>
      </c>
      <c r="F5" t="str">
        <f>"Москва"</f>
        <v>Москва</v>
      </c>
      <c r="G5" s="1"/>
      <c r="H5" s="1"/>
      <c r="L5" s="1"/>
      <c r="M5" s="1"/>
      <c r="N5" s="1"/>
      <c r="O5" s="48" t="str">
        <f>IF(допакт_Промывка[[#This Row],[Дата_акта]]="","",DAY(допакт_Промывка[[#This Row],[Дата_акта]]))</f>
        <v/>
      </c>
      <c r="P5" s="48" t="str">
        <f>IF(допакт_Промывка[[#This Row],[Дата_акта]]="","",CHOOSE(MONTH(допакт_Промывка[[#This Row],[Дата_акта]]),"января","февраля","марта","апреля","мая","июня","июля","августа","сентября","октября","ноября","декабря"))</f>
        <v/>
      </c>
      <c r="Q5" s="48" t="str">
        <f>IF(допакт_Промывка[[#This Row],[Дата_акта]]="","",YEAR(допакт_Промывка[[#This Row],[Дата_акта]]))</f>
        <v/>
      </c>
    </row>
    <row r="6" spans="1:17" ht="157.5" x14ac:dyDescent="0.25">
      <c r="A6" s="66">
        <v>3</v>
      </c>
      <c r="B6" s="1"/>
      <c r="C6" s="1"/>
      <c r="D6" s="2"/>
      <c r="E6" s="1" t="s">
        <v>364</v>
      </c>
      <c r="F6" t="str">
        <f>"Москва"</f>
        <v>Москва</v>
      </c>
      <c r="G6" s="1"/>
      <c r="H6" s="1"/>
      <c r="L6" s="1"/>
      <c r="M6" s="1"/>
      <c r="N6" s="1"/>
      <c r="O6" s="48" t="str">
        <f>IF(допакт_Промывка[[#This Row],[Дата_акта]]="","",DAY(допакт_Промывка[[#This Row],[Дата_акта]]))</f>
        <v/>
      </c>
      <c r="P6" s="48" t="str">
        <f>IF(допакт_Промывка[[#This Row],[Дата_акта]]="","",CHOOSE(MONTH(допакт_Промывка[[#This Row],[Дата_акта]]),"января","февраля","марта","апреля","мая","июня","июля","августа","сентября","октября","ноября","декабря"))</f>
        <v/>
      </c>
      <c r="Q6" s="48" t="str">
        <f>IF(допакт_Промывка[[#This Row],[Дата_акта]]="","",YEAR(допакт_Промывка[[#This Row],[Дата_акта]]))</f>
        <v/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theme="8" tint="0.59999389629810485"/>
    <outlinePr summaryRight="0"/>
  </sheetPr>
  <dimension ref="A1:AC6"/>
  <sheetViews>
    <sheetView showGridLines="0" zoomScaleNormal="100" workbookViewId="0">
      <pane ySplit="3" topLeftCell="A4" activePane="bottomLeft" state="frozen"/>
      <selection activeCell="E6" sqref="E6"/>
      <selection pane="bottomLeft" activeCell="D4" sqref="D4"/>
    </sheetView>
  </sheetViews>
  <sheetFormatPr defaultRowHeight="15.75" outlineLevelCol="1" x14ac:dyDescent="0.25"/>
  <cols>
    <col min="1" max="1" width="4.5" customWidth="1"/>
    <col min="2" max="2" width="19.625" customWidth="1"/>
    <col min="3" max="3" width="9.75" bestFit="1" customWidth="1"/>
    <col min="4" max="6" width="12.25" customWidth="1"/>
    <col min="7" max="7" width="35.375" customWidth="1" outlineLevel="1"/>
    <col min="8" max="8" width="11.125" customWidth="1" outlineLevel="1"/>
    <col min="9" max="11" width="21.75" customWidth="1" outlineLevel="1"/>
    <col min="12" max="12" width="15.625" customWidth="1" outlineLevel="1"/>
    <col min="13" max="13" width="16.625" customWidth="1" outlineLevel="1"/>
    <col min="14" max="14" width="11.125" customWidth="1" outlineLevel="1"/>
    <col min="15" max="15" width="16.5" customWidth="1"/>
    <col min="16" max="16" width="15.75" customWidth="1"/>
    <col min="17" max="17" width="16.125" customWidth="1"/>
    <col min="18" max="26" width="7.25" hidden="1" customWidth="1"/>
    <col min="27" max="29" width="8.75" hidden="1" customWidth="1"/>
  </cols>
  <sheetData>
    <row r="1" spans="1:29" ht="21" x14ac:dyDescent="0.35">
      <c r="A1" s="74" t="s">
        <v>280</v>
      </c>
    </row>
    <row r="2" spans="1:29" ht="45" customHeight="1" x14ac:dyDescent="0.25">
      <c r="A2" s="29"/>
      <c r="B2" s="71" t="s">
        <v>378</v>
      </c>
    </row>
    <row r="3" spans="1:29" ht="29.1" customHeight="1" x14ac:dyDescent="0.25">
      <c r="A3" s="69" t="s">
        <v>0</v>
      </c>
      <c r="B3" t="s">
        <v>244</v>
      </c>
      <c r="C3" s="102" t="s">
        <v>379</v>
      </c>
      <c r="D3" s="102" t="s">
        <v>380</v>
      </c>
      <c r="E3" s="102" t="s">
        <v>245</v>
      </c>
      <c r="F3" s="102" t="s">
        <v>381</v>
      </c>
      <c r="G3" s="70" t="s">
        <v>256</v>
      </c>
      <c r="H3" s="70" t="s">
        <v>257</v>
      </c>
      <c r="I3" s="70" t="s">
        <v>261</v>
      </c>
      <c r="J3" s="70" t="s">
        <v>262</v>
      </c>
      <c r="K3" s="70" t="s">
        <v>263</v>
      </c>
      <c r="L3" s="70" t="s">
        <v>382</v>
      </c>
      <c r="M3" s="70" t="s">
        <v>383</v>
      </c>
      <c r="N3" s="70" t="s">
        <v>384</v>
      </c>
      <c r="O3" s="1" t="s">
        <v>385</v>
      </c>
      <c r="P3" s="1" t="s">
        <v>386</v>
      </c>
      <c r="Q3" s="1" t="s">
        <v>387</v>
      </c>
      <c r="R3" s="67" t="s">
        <v>388</v>
      </c>
      <c r="S3" s="67" t="s">
        <v>389</v>
      </c>
      <c r="T3" s="67" t="s">
        <v>390</v>
      </c>
      <c r="U3" s="67" t="s">
        <v>391</v>
      </c>
      <c r="V3" s="67" t="s">
        <v>392</v>
      </c>
      <c r="W3" s="67" t="s">
        <v>393</v>
      </c>
      <c r="X3" s="67" t="s">
        <v>258</v>
      </c>
      <c r="Y3" s="67" t="s">
        <v>259</v>
      </c>
      <c r="Z3" s="67" t="s">
        <v>260</v>
      </c>
      <c r="AA3" s="67" t="s">
        <v>394</v>
      </c>
      <c r="AB3" s="67" t="s">
        <v>395</v>
      </c>
      <c r="AC3" s="67" t="s">
        <v>396</v>
      </c>
    </row>
    <row r="4" spans="1:29" ht="126" x14ac:dyDescent="0.25">
      <c r="A4" s="66">
        <v>1</v>
      </c>
      <c r="B4" s="1" t="s">
        <v>397</v>
      </c>
      <c r="C4" s="2">
        <v>73050</v>
      </c>
      <c r="D4" s="2">
        <v>73050</v>
      </c>
      <c r="E4" s="2">
        <f>IF(допакт_АПрОб[[#This Row],[Дата_окончания]]="","",допакт_АПрОб[[#This Row],[Дата_окончания]])</f>
        <v>73050</v>
      </c>
      <c r="F4" s="2" t="s">
        <v>398</v>
      </c>
      <c r="G4" s="1" t="s">
        <v>364</v>
      </c>
      <c r="H4" t="str">
        <f t="shared" ref="H4" si="0">"Москва"</f>
        <v>Москва</v>
      </c>
      <c r="I4" s="1" t="s">
        <v>267</v>
      </c>
      <c r="J4" s="1" t="s">
        <v>268</v>
      </c>
      <c r="K4" s="1" t="s">
        <v>269</v>
      </c>
      <c r="L4" s="1" t="s">
        <v>399</v>
      </c>
      <c r="M4" s="1" t="s">
        <v>400</v>
      </c>
      <c r="N4" s="1" t="s">
        <v>270</v>
      </c>
      <c r="O4" t="s">
        <v>272</v>
      </c>
      <c r="P4" s="1" t="s">
        <v>401</v>
      </c>
      <c r="Q4" s="1" t="s">
        <v>401</v>
      </c>
      <c r="R4" s="48">
        <f>IF(допакт_АПрОб[[#This Row],[Дата_начала]]="","",DAY(допакт_АПрОб[[#This Row],[Дата_начала]]))</f>
        <v>31</v>
      </c>
      <c r="S4" s="48" t="str">
        <f>IF(допакт_АПрОб[[#This Row],[Дата_начала]]="","",CHOOSE(MONTH(допакт_АПрОб[[#This Row],[Дата_начала]]),"января","февраля","марта","апреля","мая","июня","июля","августа","сентября","октября","ноября","декабря"))</f>
        <v>декабря</v>
      </c>
      <c r="T4" s="48">
        <f>IF(допакт_АПрОб[[#This Row],[Дата_начала]]="","",YEAR(допакт_АПрОб[[#This Row],[Дата_начала]]))</f>
        <v>2099</v>
      </c>
      <c r="U4" s="48">
        <f>IF(допакт_АПрОб[[#This Row],[Дата_окончания]]="","",DAY(допакт_АПрОб[[#This Row],[Дата_окончания]]))</f>
        <v>31</v>
      </c>
      <c r="V4" s="48" t="str">
        <f>IF(допакт_АПрОб[[#This Row],[Дата_окончания]]="","",CHOOSE(MONTH(допакт_АПрОб[[#This Row],[Дата_окончания]]),"января","февраля","марта","апреля","мая","июня","июля","августа","сентября","октября","ноября","декабря"))</f>
        <v>декабря</v>
      </c>
      <c r="W4" s="48">
        <f>IF(допакт_АПрОб[[#This Row],[Дата_окончания]]="","",YEAR(допакт_АПрОб[[#This Row],[Дата_окончания]]))</f>
        <v>2099</v>
      </c>
      <c r="X4" s="48">
        <f>IF(допакт_АПрОб[[#This Row],[Дата_акта]]="","",DAY(допакт_АПрОб[[#This Row],[Дата_акта]]))</f>
        <v>31</v>
      </c>
      <c r="Y4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>декабря</v>
      </c>
      <c r="Z4" s="48">
        <f>IF(допакт_АПрОб[[#This Row],[Дата_акта]]="","",YEAR(допакт_АПрОб[[#This Row],[Дата_акта]]))</f>
        <v>2099</v>
      </c>
      <c r="AA4" s="48">
        <f>IF(допакт_АПрОб[[#This Row],[Дата_акта]]="","",DAY(допакт_АПрОб[[#This Row],[Дата_акта]]))</f>
        <v>31</v>
      </c>
      <c r="AB4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>декабря</v>
      </c>
      <c r="AC4" s="48">
        <f>IF(допакт_АПрОб[[#This Row],[Дата_акта]]="","",YEAR(допакт_АПрОб[[#This Row],[Дата_акта]]))</f>
        <v>2099</v>
      </c>
    </row>
    <row r="5" spans="1:29" ht="126" x14ac:dyDescent="0.25">
      <c r="A5" s="66">
        <v>2</v>
      </c>
      <c r="B5" s="1"/>
      <c r="C5" s="2"/>
      <c r="D5" s="2"/>
      <c r="E5" s="2" t="str">
        <f>IF(допакт_АПрОб[[#This Row],[Дата_окончания]]="","",допакт_АПрОб[[#This Row],[Дата_окончания]])</f>
        <v/>
      </c>
      <c r="F5" s="2"/>
      <c r="G5" s="1" t="s">
        <v>364</v>
      </c>
      <c r="H5" t="str">
        <f>"Москва"</f>
        <v>Москва</v>
      </c>
      <c r="I5" s="1"/>
      <c r="J5" s="1"/>
      <c r="P5" s="1"/>
      <c r="Q5" s="1"/>
      <c r="R5" t="str">
        <f>IF(допакт_АПрОб[[#This Row],[Дата_начала]]="","",DAY(допакт_АПрОб[[#This Row],[Дата_начала]]))</f>
        <v/>
      </c>
      <c r="S5" t="str">
        <f>IF(допакт_АПрОб[[#This Row],[Дата_начала]]="","",CHOOSE(MONTH(допакт_АПрОб[[#This Row],[Дата_начала]]),"января","февраля","марта","апреля","мая","июня","июля","августа","сентября","октября","ноября","декабря"))</f>
        <v/>
      </c>
      <c r="T5" t="str">
        <f>IF(допакт_АПрОб[[#This Row],[Дата_начала]]="","",YEAR(допакт_АПрОб[[#This Row],[Дата_начала]]))</f>
        <v/>
      </c>
      <c r="U5" t="str">
        <f>IF(допакт_АПрОб[[#This Row],[Дата_окончания]]="","",DAY(допакт_АПрОб[[#This Row],[Дата_окончания]]))</f>
        <v/>
      </c>
      <c r="V5" t="str">
        <f>IF(допакт_АПрОб[[#This Row],[Дата_окончания]]="","",CHOOSE(MONTH(допакт_АПрОб[[#This Row],[Дата_окончания]]),"января","февраля","марта","апреля","мая","июня","июля","августа","сентября","октября","ноября","декабря"))</f>
        <v/>
      </c>
      <c r="W5" t="str">
        <f>IF(допакт_АПрОб[[#This Row],[Дата_окончания]]="","",YEAR(допакт_АПрОб[[#This Row],[Дата_окончания]]))</f>
        <v/>
      </c>
      <c r="X5" s="48" t="str">
        <f>IF(допакт_АПрОб[[#This Row],[Дата_акта]]="","",DAY(допакт_АПрОб[[#This Row],[Дата_акта]]))</f>
        <v/>
      </c>
      <c r="Y5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/>
      </c>
      <c r="Z5" s="48" t="str">
        <f>IF(допакт_АПрОб[[#This Row],[Дата_акта]]="","",YEAR(допакт_АПрОб[[#This Row],[Дата_акта]]))</f>
        <v/>
      </c>
      <c r="AA5" s="48" t="str">
        <f>IF(допакт_АПрОб[[#This Row],[Дата_акта]]="","",DAY(допакт_АПрОб[[#This Row],[Дата_акта]]))</f>
        <v/>
      </c>
      <c r="AB5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/>
      </c>
      <c r="AC5" s="48" t="str">
        <f>IF(допакт_АПрОб[[#This Row],[Дата_акта]]="","",YEAR(допакт_АПрОб[[#This Row],[Дата_акта]]))</f>
        <v/>
      </c>
    </row>
    <row r="6" spans="1:29" ht="126" x14ac:dyDescent="0.25">
      <c r="A6" s="66">
        <v>3</v>
      </c>
      <c r="B6" s="1"/>
      <c r="C6" s="2"/>
      <c r="D6" s="2"/>
      <c r="E6" s="2" t="str">
        <f>IF(допакт_АПрОб[[#This Row],[Дата_окончания]]="","",допакт_АПрОб[[#This Row],[Дата_окончания]])</f>
        <v/>
      </c>
      <c r="F6" s="2"/>
      <c r="G6" s="1" t="s">
        <v>364</v>
      </c>
      <c r="H6" t="str">
        <f>"Москва"</f>
        <v>Москва</v>
      </c>
      <c r="I6" s="1"/>
      <c r="J6" s="1"/>
      <c r="P6" s="1"/>
      <c r="Q6" s="1"/>
      <c r="R6" t="str">
        <f>IF(допакт_АПрОб[[#This Row],[Дата_начала]]="","",DAY(допакт_АПрОб[[#This Row],[Дата_начала]]))</f>
        <v/>
      </c>
      <c r="S6" t="str">
        <f>IF(допакт_АПрОб[[#This Row],[Дата_начала]]="","",CHOOSE(MONTH(допакт_АПрОб[[#This Row],[Дата_начала]]),"января","февраля","марта","апреля","мая","июня","июля","августа","сентября","октября","ноября","декабря"))</f>
        <v/>
      </c>
      <c r="T6" t="str">
        <f>IF(допакт_АПрОб[[#This Row],[Дата_начала]]="","",YEAR(допакт_АПрОб[[#This Row],[Дата_начала]]))</f>
        <v/>
      </c>
      <c r="U6" t="str">
        <f>IF(допакт_АПрОб[[#This Row],[Дата_окончания]]="","",DAY(допакт_АПрОб[[#This Row],[Дата_окончания]]))</f>
        <v/>
      </c>
      <c r="V6" t="str">
        <f>IF(допакт_АПрОб[[#This Row],[Дата_окончания]]="","",CHOOSE(MONTH(допакт_АПрОб[[#This Row],[Дата_окончания]]),"января","февраля","марта","апреля","мая","июня","июля","августа","сентября","октября","ноября","декабря"))</f>
        <v/>
      </c>
      <c r="W6" t="str">
        <f>IF(допакт_АПрОб[[#This Row],[Дата_окончания]]="","",YEAR(допакт_АПрОб[[#This Row],[Дата_окончания]]))</f>
        <v/>
      </c>
      <c r="X6" s="48" t="str">
        <f>IF(допакт_АПрОб[[#This Row],[Дата_акта]]="","",DAY(допакт_АПрОб[[#This Row],[Дата_акта]]))</f>
        <v/>
      </c>
      <c r="Y6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/>
      </c>
      <c r="Z6" s="48" t="str">
        <f>IF(допакт_АПрОб[[#This Row],[Дата_акта]]="","",YEAR(допакт_АПрОб[[#This Row],[Дата_акта]]))</f>
        <v/>
      </c>
      <c r="AA6" s="48" t="str">
        <f>IF(допакт_АПрОб[[#This Row],[Дата_акта]]="","",DAY(допакт_АПрОб[[#This Row],[Дата_акта]]))</f>
        <v/>
      </c>
      <c r="AB6" s="48" t="str">
        <f>IF(допакт_АПрОб[[#This Row],[Дата_акта]]="","",CHOOSE(MONTH(допакт_АПрОб[[#This Row],[Дата_акта]]),"января","февраля","марта","апреля","мая","июня","июля","августа","сентября","октября","ноября","декабря"))</f>
        <v/>
      </c>
      <c r="AC6" s="48" t="str">
        <f>IF(допакт_АПрОб[[#This Row],[Дата_акта]]="","",YEAR(допакт_АПрОб[[#This Row],[Дата_акта]]))</f>
        <v/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289"/>
  <sheetViews>
    <sheetView showGridLines="0" zoomScaleNormal="100" workbookViewId="0">
      <pane ySplit="4" topLeftCell="A5" activePane="bottomLeft" state="frozen"/>
      <selection activeCell="F5" sqref="F5"/>
      <selection pane="bottomLeft"/>
    </sheetView>
  </sheetViews>
  <sheetFormatPr defaultRowHeight="15.75" x14ac:dyDescent="0.25"/>
  <cols>
    <col min="1" max="1" width="23.625" customWidth="1"/>
    <col min="2" max="2" width="102.75" customWidth="1"/>
  </cols>
  <sheetData>
    <row r="1" spans="1:2" ht="21" x14ac:dyDescent="0.35">
      <c r="A1" s="74" t="s">
        <v>130</v>
      </c>
    </row>
    <row r="2" spans="1:2" x14ac:dyDescent="0.25">
      <c r="A2" s="7" t="s">
        <v>133</v>
      </c>
    </row>
    <row r="3" spans="1:2" x14ac:dyDescent="0.25">
      <c r="A3" s="7"/>
    </row>
    <row r="4" spans="1:2" x14ac:dyDescent="0.25">
      <c r="A4" t="s">
        <v>128</v>
      </c>
      <c r="B4" t="s">
        <v>129</v>
      </c>
    </row>
    <row r="5" spans="1:2" x14ac:dyDescent="0.25">
      <c r="A5" s="46" t="s">
        <v>403</v>
      </c>
      <c r="B5" s="47" t="s">
        <v>404</v>
      </c>
    </row>
    <row r="6" spans="1:2" x14ac:dyDescent="0.25">
      <c r="A6" s="46" t="s">
        <v>405</v>
      </c>
      <c r="B6" s="47" t="s">
        <v>406</v>
      </c>
    </row>
    <row r="7" spans="1:2" ht="31.5" x14ac:dyDescent="0.25">
      <c r="A7" s="46" t="s">
        <v>407</v>
      </c>
      <c r="B7" s="47" t="s">
        <v>408</v>
      </c>
    </row>
    <row r="8" spans="1:2" ht="31.5" x14ac:dyDescent="0.25">
      <c r="A8" s="46" t="s">
        <v>409</v>
      </c>
      <c r="B8" s="47" t="s">
        <v>410</v>
      </c>
    </row>
    <row r="9" spans="1:2" ht="31.5" x14ac:dyDescent="0.25">
      <c r="A9" s="46" t="s">
        <v>411</v>
      </c>
      <c r="B9" s="47" t="s">
        <v>412</v>
      </c>
    </row>
    <row r="10" spans="1:2" x14ac:dyDescent="0.25">
      <c r="A10" s="46" t="s">
        <v>413</v>
      </c>
      <c r="B10" s="47" t="s">
        <v>414</v>
      </c>
    </row>
    <row r="11" spans="1:2" x14ac:dyDescent="0.25">
      <c r="A11" s="46" t="s">
        <v>415</v>
      </c>
      <c r="B11" s="47" t="s">
        <v>416</v>
      </c>
    </row>
    <row r="12" spans="1:2" ht="31.5" x14ac:dyDescent="0.25">
      <c r="A12" s="46" t="s">
        <v>417</v>
      </c>
      <c r="B12" s="47" t="s">
        <v>418</v>
      </c>
    </row>
    <row r="13" spans="1:2" x14ac:dyDescent="0.25">
      <c r="A13" s="46" t="s">
        <v>419</v>
      </c>
      <c r="B13" s="47" t="s">
        <v>420</v>
      </c>
    </row>
    <row r="14" spans="1:2" ht="31.5" x14ac:dyDescent="0.25">
      <c r="A14" s="46" t="s">
        <v>421</v>
      </c>
      <c r="B14" s="47" t="s">
        <v>422</v>
      </c>
    </row>
    <row r="15" spans="1:2" x14ac:dyDescent="0.25">
      <c r="A15" s="46" t="s">
        <v>423</v>
      </c>
      <c r="B15" s="47" t="s">
        <v>424</v>
      </c>
    </row>
    <row r="16" spans="1:2" x14ac:dyDescent="0.25">
      <c r="A16" s="46" t="s">
        <v>425</v>
      </c>
      <c r="B16" s="47" t="s">
        <v>426</v>
      </c>
    </row>
    <row r="17" spans="1:2" x14ac:dyDescent="0.25">
      <c r="A17" s="46" t="s">
        <v>427</v>
      </c>
      <c r="B17" s="47" t="s">
        <v>428</v>
      </c>
    </row>
    <row r="18" spans="1:2" x14ac:dyDescent="0.25">
      <c r="A18" s="46" t="s">
        <v>429</v>
      </c>
      <c r="B18" s="47" t="s">
        <v>430</v>
      </c>
    </row>
    <row r="19" spans="1:2" x14ac:dyDescent="0.25">
      <c r="A19" s="46" t="s">
        <v>431</v>
      </c>
      <c r="B19" s="47" t="s">
        <v>432</v>
      </c>
    </row>
    <row r="20" spans="1:2" x14ac:dyDescent="0.25">
      <c r="A20" s="46" t="s">
        <v>433</v>
      </c>
      <c r="B20" s="47" t="s">
        <v>434</v>
      </c>
    </row>
    <row r="21" spans="1:2" x14ac:dyDescent="0.25">
      <c r="A21" s="46" t="s">
        <v>435</v>
      </c>
      <c r="B21" s="47" t="s">
        <v>436</v>
      </c>
    </row>
    <row r="22" spans="1:2" x14ac:dyDescent="0.25">
      <c r="A22" s="46" t="s">
        <v>437</v>
      </c>
      <c r="B22" s="47" t="s">
        <v>438</v>
      </c>
    </row>
    <row r="23" spans="1:2" x14ac:dyDescent="0.25">
      <c r="A23" s="46" t="s">
        <v>439</v>
      </c>
      <c r="B23" s="47" t="s">
        <v>440</v>
      </c>
    </row>
    <row r="24" spans="1:2" x14ac:dyDescent="0.25">
      <c r="A24" s="46" t="s">
        <v>441</v>
      </c>
      <c r="B24" s="47" t="s">
        <v>442</v>
      </c>
    </row>
    <row r="25" spans="1:2" x14ac:dyDescent="0.25">
      <c r="A25" s="46" t="s">
        <v>443</v>
      </c>
      <c r="B25" s="47" t="s">
        <v>444</v>
      </c>
    </row>
    <row r="26" spans="1:2" x14ac:dyDescent="0.25">
      <c r="A26" s="46" t="s">
        <v>445</v>
      </c>
      <c r="B26" s="47" t="s">
        <v>446</v>
      </c>
    </row>
    <row r="27" spans="1:2" x14ac:dyDescent="0.25">
      <c r="A27" s="46" t="s">
        <v>447</v>
      </c>
      <c r="B27" s="47" t="s">
        <v>448</v>
      </c>
    </row>
    <row r="28" spans="1:2" x14ac:dyDescent="0.25">
      <c r="A28" s="46" t="s">
        <v>449</v>
      </c>
      <c r="B28" s="47" t="s">
        <v>450</v>
      </c>
    </row>
    <row r="29" spans="1:2" x14ac:dyDescent="0.25">
      <c r="A29" s="46" t="s">
        <v>451</v>
      </c>
      <c r="B29" s="47" t="s">
        <v>452</v>
      </c>
    </row>
    <row r="30" spans="1:2" x14ac:dyDescent="0.25">
      <c r="A30" s="46" t="s">
        <v>453</v>
      </c>
      <c r="B30" s="47" t="s">
        <v>454</v>
      </c>
    </row>
    <row r="31" spans="1:2" ht="31.5" x14ac:dyDescent="0.25">
      <c r="A31" s="46" t="s">
        <v>455</v>
      </c>
      <c r="B31" s="47" t="s">
        <v>456</v>
      </c>
    </row>
    <row r="32" spans="1:2" x14ac:dyDescent="0.25">
      <c r="A32" s="46" t="s">
        <v>457</v>
      </c>
      <c r="B32" s="47" t="s">
        <v>458</v>
      </c>
    </row>
    <row r="33" spans="1:2" x14ac:dyDescent="0.25">
      <c r="A33" s="46" t="s">
        <v>459</v>
      </c>
      <c r="B33" s="47" t="s">
        <v>460</v>
      </c>
    </row>
    <row r="34" spans="1:2" x14ac:dyDescent="0.25">
      <c r="A34" s="46" t="s">
        <v>461</v>
      </c>
      <c r="B34" s="47" t="s">
        <v>462</v>
      </c>
    </row>
    <row r="35" spans="1:2" x14ac:dyDescent="0.25">
      <c r="A35" s="46" t="s">
        <v>463</v>
      </c>
      <c r="B35" s="47" t="s">
        <v>464</v>
      </c>
    </row>
    <row r="36" spans="1:2" x14ac:dyDescent="0.25">
      <c r="A36" s="46" t="s">
        <v>465</v>
      </c>
      <c r="B36" s="47" t="s">
        <v>466</v>
      </c>
    </row>
    <row r="37" spans="1:2" x14ac:dyDescent="0.25">
      <c r="A37" s="46" t="s">
        <v>467</v>
      </c>
      <c r="B37" s="47" t="s">
        <v>468</v>
      </c>
    </row>
    <row r="38" spans="1:2" x14ac:dyDescent="0.25">
      <c r="A38" s="46" t="s">
        <v>469</v>
      </c>
      <c r="B38" s="47" t="s">
        <v>470</v>
      </c>
    </row>
    <row r="39" spans="1:2" x14ac:dyDescent="0.25">
      <c r="A39" s="46" t="s">
        <v>471</v>
      </c>
      <c r="B39" s="47" t="s">
        <v>472</v>
      </c>
    </row>
    <row r="40" spans="1:2" x14ac:dyDescent="0.25">
      <c r="A40" s="46" t="s">
        <v>473</v>
      </c>
      <c r="B40" s="47" t="s">
        <v>474</v>
      </c>
    </row>
    <row r="41" spans="1:2" x14ac:dyDescent="0.25">
      <c r="A41" s="46" t="s">
        <v>475</v>
      </c>
      <c r="B41" s="47" t="s">
        <v>476</v>
      </c>
    </row>
    <row r="42" spans="1:2" x14ac:dyDescent="0.25">
      <c r="A42" s="46" t="s">
        <v>477</v>
      </c>
      <c r="B42" s="47" t="s">
        <v>478</v>
      </c>
    </row>
    <row r="43" spans="1:2" x14ac:dyDescent="0.25">
      <c r="A43" s="46" t="s">
        <v>479</v>
      </c>
      <c r="B43" s="47" t="s">
        <v>480</v>
      </c>
    </row>
    <row r="44" spans="1:2" x14ac:dyDescent="0.25">
      <c r="A44" s="46" t="s">
        <v>481</v>
      </c>
      <c r="B44" s="47" t="s">
        <v>482</v>
      </c>
    </row>
    <row r="45" spans="1:2" x14ac:dyDescent="0.25">
      <c r="A45" s="46" t="s">
        <v>483</v>
      </c>
      <c r="B45" s="47" t="s">
        <v>484</v>
      </c>
    </row>
    <row r="46" spans="1:2" x14ac:dyDescent="0.25">
      <c r="A46" s="46" t="s">
        <v>485</v>
      </c>
      <c r="B46" s="47" t="s">
        <v>486</v>
      </c>
    </row>
    <row r="47" spans="1:2" x14ac:dyDescent="0.25">
      <c r="A47" s="46" t="s">
        <v>487</v>
      </c>
      <c r="B47" s="47" t="s">
        <v>488</v>
      </c>
    </row>
    <row r="48" spans="1:2" x14ac:dyDescent="0.25">
      <c r="A48" s="46" t="s">
        <v>489</v>
      </c>
      <c r="B48" s="47" t="s">
        <v>490</v>
      </c>
    </row>
    <row r="49" spans="1:2" x14ac:dyDescent="0.25">
      <c r="A49" s="46" t="s">
        <v>491</v>
      </c>
      <c r="B49" s="47" t="s">
        <v>948</v>
      </c>
    </row>
    <row r="50" spans="1:2" x14ac:dyDescent="0.25">
      <c r="A50" s="46" t="s">
        <v>492</v>
      </c>
      <c r="B50" s="47" t="s">
        <v>472</v>
      </c>
    </row>
    <row r="51" spans="1:2" x14ac:dyDescent="0.25">
      <c r="A51" s="46" t="s">
        <v>493</v>
      </c>
      <c r="B51" s="47" t="s">
        <v>494</v>
      </c>
    </row>
    <row r="52" spans="1:2" x14ac:dyDescent="0.25">
      <c r="A52" s="46" t="s">
        <v>495</v>
      </c>
      <c r="B52" s="47" t="s">
        <v>496</v>
      </c>
    </row>
    <row r="53" spans="1:2" x14ac:dyDescent="0.25">
      <c r="A53" s="46" t="s">
        <v>497</v>
      </c>
      <c r="B53" s="47" t="s">
        <v>498</v>
      </c>
    </row>
    <row r="54" spans="1:2" x14ac:dyDescent="0.25">
      <c r="A54" s="46" t="s">
        <v>499</v>
      </c>
      <c r="B54" s="47" t="s">
        <v>500</v>
      </c>
    </row>
    <row r="55" spans="1:2" x14ac:dyDescent="0.25">
      <c r="A55" s="46" t="s">
        <v>501</v>
      </c>
      <c r="B55" s="47" t="s">
        <v>502</v>
      </c>
    </row>
    <row r="56" spans="1:2" x14ac:dyDescent="0.25">
      <c r="A56" s="46" t="s">
        <v>503</v>
      </c>
      <c r="B56" s="47" t="s">
        <v>504</v>
      </c>
    </row>
    <row r="57" spans="1:2" x14ac:dyDescent="0.25">
      <c r="A57" s="46" t="s">
        <v>505</v>
      </c>
      <c r="B57" s="47" t="s">
        <v>506</v>
      </c>
    </row>
    <row r="58" spans="1:2" x14ac:dyDescent="0.25">
      <c r="A58" s="46" t="s">
        <v>507</v>
      </c>
      <c r="B58" s="47" t="s">
        <v>508</v>
      </c>
    </row>
    <row r="59" spans="1:2" x14ac:dyDescent="0.25">
      <c r="A59" s="46" t="s">
        <v>509</v>
      </c>
      <c r="B59" s="47" t="s">
        <v>510</v>
      </c>
    </row>
    <row r="60" spans="1:2" x14ac:dyDescent="0.25">
      <c r="A60" s="46" t="s">
        <v>511</v>
      </c>
      <c r="B60" s="47" t="s">
        <v>512</v>
      </c>
    </row>
    <row r="61" spans="1:2" x14ac:dyDescent="0.25">
      <c r="A61" s="46" t="s">
        <v>513</v>
      </c>
      <c r="B61" s="47" t="s">
        <v>514</v>
      </c>
    </row>
    <row r="62" spans="1:2" x14ac:dyDescent="0.25">
      <c r="A62" s="46" t="s">
        <v>515</v>
      </c>
      <c r="B62" s="47" t="s">
        <v>516</v>
      </c>
    </row>
    <row r="63" spans="1:2" x14ac:dyDescent="0.25">
      <c r="A63" s="46" t="s">
        <v>517</v>
      </c>
      <c r="B63" s="47" t="s">
        <v>518</v>
      </c>
    </row>
    <row r="64" spans="1:2" x14ac:dyDescent="0.25">
      <c r="A64" s="46" t="s">
        <v>519</v>
      </c>
      <c r="B64" s="47" t="s">
        <v>520</v>
      </c>
    </row>
    <row r="65" spans="1:2" x14ac:dyDescent="0.25">
      <c r="A65" s="46" t="s">
        <v>521</v>
      </c>
      <c r="B65" s="47" t="s">
        <v>522</v>
      </c>
    </row>
    <row r="66" spans="1:2" x14ac:dyDescent="0.25">
      <c r="A66" s="46" t="s">
        <v>523</v>
      </c>
      <c r="B66" s="47" t="s">
        <v>524</v>
      </c>
    </row>
    <row r="67" spans="1:2" x14ac:dyDescent="0.25">
      <c r="A67" s="46" t="s">
        <v>525</v>
      </c>
      <c r="B67" s="47" t="s">
        <v>526</v>
      </c>
    </row>
    <row r="68" spans="1:2" x14ac:dyDescent="0.25">
      <c r="A68" s="46" t="s">
        <v>527</v>
      </c>
      <c r="B68" s="47" t="s">
        <v>528</v>
      </c>
    </row>
    <row r="69" spans="1:2" ht="31.5" x14ac:dyDescent="0.25">
      <c r="A69" s="46" t="s">
        <v>529</v>
      </c>
      <c r="B69" s="47" t="s">
        <v>530</v>
      </c>
    </row>
    <row r="70" spans="1:2" x14ac:dyDescent="0.25">
      <c r="A70" s="46" t="s">
        <v>531</v>
      </c>
      <c r="B70" s="47" t="s">
        <v>532</v>
      </c>
    </row>
    <row r="71" spans="1:2" x14ac:dyDescent="0.25">
      <c r="A71" s="46" t="s">
        <v>533</v>
      </c>
      <c r="B71" s="47" t="s">
        <v>534</v>
      </c>
    </row>
    <row r="72" spans="1:2" x14ac:dyDescent="0.25">
      <c r="A72" s="46" t="s">
        <v>535</v>
      </c>
      <c r="B72" s="47" t="s">
        <v>949</v>
      </c>
    </row>
    <row r="73" spans="1:2" x14ac:dyDescent="0.25">
      <c r="A73" s="46" t="s">
        <v>536</v>
      </c>
      <c r="B73" s="47" t="s">
        <v>537</v>
      </c>
    </row>
    <row r="74" spans="1:2" x14ac:dyDescent="0.25">
      <c r="A74" s="46" t="s">
        <v>538</v>
      </c>
      <c r="B74" s="47" t="s">
        <v>539</v>
      </c>
    </row>
    <row r="75" spans="1:2" x14ac:dyDescent="0.25">
      <c r="A75" s="46" t="s">
        <v>540</v>
      </c>
      <c r="B75" s="47" t="s">
        <v>541</v>
      </c>
    </row>
    <row r="76" spans="1:2" x14ac:dyDescent="0.25">
      <c r="A76" s="46" t="s">
        <v>542</v>
      </c>
      <c r="B76" s="47" t="s">
        <v>543</v>
      </c>
    </row>
    <row r="77" spans="1:2" x14ac:dyDescent="0.25">
      <c r="A77" s="46" t="s">
        <v>544</v>
      </c>
      <c r="B77" s="47" t="s">
        <v>545</v>
      </c>
    </row>
    <row r="78" spans="1:2" x14ac:dyDescent="0.25">
      <c r="A78" s="46" t="s">
        <v>546</v>
      </c>
      <c r="B78" s="47" t="s">
        <v>470</v>
      </c>
    </row>
    <row r="79" spans="1:2" x14ac:dyDescent="0.25">
      <c r="A79" s="46" t="s">
        <v>547</v>
      </c>
      <c r="B79" s="47" t="s">
        <v>472</v>
      </c>
    </row>
    <row r="80" spans="1:2" x14ac:dyDescent="0.25">
      <c r="A80" s="46" t="s">
        <v>548</v>
      </c>
      <c r="B80" s="47" t="s">
        <v>549</v>
      </c>
    </row>
    <row r="81" spans="1:2" x14ac:dyDescent="0.25">
      <c r="A81" s="46" t="s">
        <v>550</v>
      </c>
      <c r="B81" s="47" t="s">
        <v>551</v>
      </c>
    </row>
    <row r="82" spans="1:2" x14ac:dyDescent="0.25">
      <c r="A82" s="46" t="s">
        <v>552</v>
      </c>
      <c r="B82" s="47" t="s">
        <v>553</v>
      </c>
    </row>
    <row r="83" spans="1:2" x14ac:dyDescent="0.25">
      <c r="A83" s="46" t="s">
        <v>554</v>
      </c>
      <c r="B83" s="47" t="s">
        <v>555</v>
      </c>
    </row>
    <row r="84" spans="1:2" x14ac:dyDescent="0.25">
      <c r="A84" s="46" t="s">
        <v>556</v>
      </c>
      <c r="B84" s="47" t="s">
        <v>557</v>
      </c>
    </row>
    <row r="85" spans="1:2" x14ac:dyDescent="0.25">
      <c r="A85" s="46" t="s">
        <v>558</v>
      </c>
      <c r="B85" s="47" t="s">
        <v>559</v>
      </c>
    </row>
    <row r="86" spans="1:2" x14ac:dyDescent="0.25">
      <c r="A86" s="46" t="s">
        <v>560</v>
      </c>
      <c r="B86" s="47" t="s">
        <v>474</v>
      </c>
    </row>
    <row r="87" spans="1:2" x14ac:dyDescent="0.25">
      <c r="A87" s="46" t="s">
        <v>561</v>
      </c>
      <c r="B87" s="47" t="s">
        <v>562</v>
      </c>
    </row>
    <row r="88" spans="1:2" x14ac:dyDescent="0.25">
      <c r="A88" s="46" t="s">
        <v>563</v>
      </c>
      <c r="B88" s="47" t="s">
        <v>564</v>
      </c>
    </row>
    <row r="89" spans="1:2" x14ac:dyDescent="0.25">
      <c r="A89" s="46" t="s">
        <v>565</v>
      </c>
      <c r="B89" s="47" t="s">
        <v>566</v>
      </c>
    </row>
    <row r="90" spans="1:2" x14ac:dyDescent="0.25">
      <c r="A90" s="46" t="s">
        <v>567</v>
      </c>
      <c r="B90" s="47" t="s">
        <v>534</v>
      </c>
    </row>
    <row r="91" spans="1:2" x14ac:dyDescent="0.25">
      <c r="A91" s="46" t="s">
        <v>568</v>
      </c>
      <c r="B91" s="47" t="s">
        <v>569</v>
      </c>
    </row>
    <row r="92" spans="1:2" x14ac:dyDescent="0.25">
      <c r="A92" s="46" t="s">
        <v>570</v>
      </c>
      <c r="B92" s="47" t="s">
        <v>571</v>
      </c>
    </row>
    <row r="93" spans="1:2" ht="31.5" x14ac:dyDescent="0.25">
      <c r="A93" s="46" t="s">
        <v>572</v>
      </c>
      <c r="B93" s="47" t="s">
        <v>573</v>
      </c>
    </row>
    <row r="94" spans="1:2" x14ac:dyDescent="0.25">
      <c r="A94" s="46" t="s">
        <v>574</v>
      </c>
      <c r="B94" s="47" t="s">
        <v>575</v>
      </c>
    </row>
    <row r="95" spans="1:2" x14ac:dyDescent="0.25">
      <c r="A95" s="46" t="s">
        <v>576</v>
      </c>
      <c r="B95" s="47" t="s">
        <v>577</v>
      </c>
    </row>
    <row r="96" spans="1:2" x14ac:dyDescent="0.25">
      <c r="A96" s="46" t="s">
        <v>578</v>
      </c>
      <c r="B96" s="47" t="s">
        <v>579</v>
      </c>
    </row>
    <row r="97" spans="1:2" x14ac:dyDescent="0.25">
      <c r="A97" s="46" t="s">
        <v>580</v>
      </c>
      <c r="B97" s="47" t="s">
        <v>581</v>
      </c>
    </row>
    <row r="98" spans="1:2" ht="31.5" x14ac:dyDescent="0.25">
      <c r="A98" s="46" t="s">
        <v>582</v>
      </c>
      <c r="B98" s="47" t="s">
        <v>583</v>
      </c>
    </row>
    <row r="99" spans="1:2" x14ac:dyDescent="0.25">
      <c r="A99" s="46" t="s">
        <v>584</v>
      </c>
      <c r="B99" s="47" t="s">
        <v>551</v>
      </c>
    </row>
    <row r="100" spans="1:2" x14ac:dyDescent="0.25">
      <c r="A100" s="46" t="s">
        <v>585</v>
      </c>
      <c r="B100" s="47" t="s">
        <v>575</v>
      </c>
    </row>
    <row r="101" spans="1:2" x14ac:dyDescent="0.25">
      <c r="A101" s="46" t="s">
        <v>574</v>
      </c>
      <c r="B101" s="47" t="s">
        <v>575</v>
      </c>
    </row>
    <row r="102" spans="1:2" x14ac:dyDescent="0.25">
      <c r="A102" s="46" t="s">
        <v>586</v>
      </c>
      <c r="B102" s="47" t="s">
        <v>577</v>
      </c>
    </row>
    <row r="103" spans="1:2" x14ac:dyDescent="0.25">
      <c r="A103" s="46" t="s">
        <v>576</v>
      </c>
      <c r="B103" s="47" t="s">
        <v>577</v>
      </c>
    </row>
    <row r="104" spans="1:2" x14ac:dyDescent="0.25">
      <c r="A104" s="46" t="s">
        <v>587</v>
      </c>
      <c r="B104" s="47" t="s">
        <v>579</v>
      </c>
    </row>
    <row r="105" spans="1:2" x14ac:dyDescent="0.25">
      <c r="A105" s="46" t="s">
        <v>578</v>
      </c>
      <c r="B105" s="47" t="s">
        <v>579</v>
      </c>
    </row>
    <row r="106" spans="1:2" x14ac:dyDescent="0.25">
      <c r="A106" s="46" t="s">
        <v>588</v>
      </c>
      <c r="B106" s="47" t="s">
        <v>589</v>
      </c>
    </row>
    <row r="107" spans="1:2" ht="31.5" x14ac:dyDescent="0.25">
      <c r="A107" s="46" t="s">
        <v>590</v>
      </c>
      <c r="B107" s="47" t="s">
        <v>591</v>
      </c>
    </row>
    <row r="108" spans="1:2" ht="31.5" x14ac:dyDescent="0.25">
      <c r="A108" s="46" t="s">
        <v>582</v>
      </c>
      <c r="B108" s="47" t="s">
        <v>592</v>
      </c>
    </row>
    <row r="109" spans="1:2" x14ac:dyDescent="0.25">
      <c r="A109" s="46" t="s">
        <v>593</v>
      </c>
      <c r="B109" s="47" t="s">
        <v>551</v>
      </c>
    </row>
    <row r="110" spans="1:2" x14ac:dyDescent="0.25">
      <c r="A110" s="46" t="s">
        <v>584</v>
      </c>
      <c r="B110" s="47" t="s">
        <v>551</v>
      </c>
    </row>
    <row r="111" spans="1:2" x14ac:dyDescent="0.25">
      <c r="A111" s="46" t="s">
        <v>594</v>
      </c>
      <c r="B111" s="47" t="s">
        <v>595</v>
      </c>
    </row>
    <row r="112" spans="1:2" x14ac:dyDescent="0.25">
      <c r="A112" s="46" t="s">
        <v>596</v>
      </c>
      <c r="B112" s="47" t="s">
        <v>597</v>
      </c>
    </row>
    <row r="113" spans="1:2" x14ac:dyDescent="0.25">
      <c r="A113" s="46" t="s">
        <v>598</v>
      </c>
      <c r="B113" s="47" t="s">
        <v>599</v>
      </c>
    </row>
    <row r="114" spans="1:2" x14ac:dyDescent="0.25">
      <c r="A114" s="46" t="s">
        <v>600</v>
      </c>
      <c r="B114" s="47" t="s">
        <v>601</v>
      </c>
    </row>
    <row r="115" spans="1:2" x14ac:dyDescent="0.25">
      <c r="A115" s="46" t="s">
        <v>602</v>
      </c>
      <c r="B115" s="47" t="s">
        <v>603</v>
      </c>
    </row>
    <row r="116" spans="1:2" x14ac:dyDescent="0.25">
      <c r="A116" s="46" t="s">
        <v>604</v>
      </c>
      <c r="B116" s="47" t="s">
        <v>605</v>
      </c>
    </row>
    <row r="117" spans="1:2" x14ac:dyDescent="0.25">
      <c r="A117" s="46" t="s">
        <v>606</v>
      </c>
      <c r="B117" s="47" t="s">
        <v>607</v>
      </c>
    </row>
    <row r="118" spans="1:2" x14ac:dyDescent="0.25">
      <c r="A118" s="46" t="s">
        <v>608</v>
      </c>
      <c r="B118" s="47" t="s">
        <v>609</v>
      </c>
    </row>
    <row r="119" spans="1:2" x14ac:dyDescent="0.25">
      <c r="A119" s="46" t="s">
        <v>610</v>
      </c>
      <c r="B119" s="47" t="s">
        <v>611</v>
      </c>
    </row>
    <row r="120" spans="1:2" x14ac:dyDescent="0.25">
      <c r="A120" s="46" t="s">
        <v>612</v>
      </c>
      <c r="B120" s="47" t="s">
        <v>613</v>
      </c>
    </row>
    <row r="121" spans="1:2" x14ac:dyDescent="0.25">
      <c r="A121" s="46" t="s">
        <v>614</v>
      </c>
      <c r="B121" s="47" t="s">
        <v>615</v>
      </c>
    </row>
    <row r="122" spans="1:2" x14ac:dyDescent="0.25">
      <c r="A122" s="46" t="s">
        <v>616</v>
      </c>
      <c r="B122" s="47" t="s">
        <v>617</v>
      </c>
    </row>
    <row r="123" spans="1:2" ht="31.5" x14ac:dyDescent="0.25">
      <c r="A123" s="46" t="s">
        <v>618</v>
      </c>
      <c r="B123" s="47" t="s">
        <v>619</v>
      </c>
    </row>
    <row r="124" spans="1:2" x14ac:dyDescent="0.25">
      <c r="A124" s="46" t="s">
        <v>620</v>
      </c>
      <c r="B124" s="47" t="s">
        <v>621</v>
      </c>
    </row>
    <row r="125" spans="1:2" x14ac:dyDescent="0.25">
      <c r="A125" s="46" t="s">
        <v>622</v>
      </c>
      <c r="B125" s="47" t="s">
        <v>623</v>
      </c>
    </row>
    <row r="126" spans="1:2" x14ac:dyDescent="0.25">
      <c r="A126" s="46" t="s">
        <v>624</v>
      </c>
      <c r="B126" s="47" t="s">
        <v>625</v>
      </c>
    </row>
    <row r="127" spans="1:2" x14ac:dyDescent="0.25">
      <c r="A127" s="46" t="s">
        <v>626</v>
      </c>
      <c r="B127" s="47" t="s">
        <v>627</v>
      </c>
    </row>
    <row r="128" spans="1:2" x14ac:dyDescent="0.25">
      <c r="A128" s="46" t="s">
        <v>628</v>
      </c>
      <c r="B128" s="47" t="s">
        <v>629</v>
      </c>
    </row>
    <row r="129" spans="1:2" x14ac:dyDescent="0.25">
      <c r="A129" s="46" t="s">
        <v>630</v>
      </c>
      <c r="B129" s="47" t="s">
        <v>631</v>
      </c>
    </row>
    <row r="130" spans="1:2" x14ac:dyDescent="0.25">
      <c r="A130" s="46" t="s">
        <v>632</v>
      </c>
      <c r="B130" s="47" t="s">
        <v>633</v>
      </c>
    </row>
    <row r="131" spans="1:2" x14ac:dyDescent="0.25">
      <c r="A131" s="46" t="s">
        <v>634</v>
      </c>
      <c r="B131" s="47" t="s">
        <v>635</v>
      </c>
    </row>
    <row r="132" spans="1:2" x14ac:dyDescent="0.25">
      <c r="A132" s="46" t="s">
        <v>636</v>
      </c>
      <c r="B132" s="47" t="s">
        <v>637</v>
      </c>
    </row>
    <row r="133" spans="1:2" x14ac:dyDescent="0.25">
      <c r="A133" s="46" t="s">
        <v>638</v>
      </c>
      <c r="B133" s="47" t="s">
        <v>639</v>
      </c>
    </row>
    <row r="134" spans="1:2" x14ac:dyDescent="0.25">
      <c r="A134" s="46" t="s">
        <v>640</v>
      </c>
      <c r="B134" s="47" t="s">
        <v>641</v>
      </c>
    </row>
    <row r="135" spans="1:2" x14ac:dyDescent="0.25">
      <c r="A135" s="46" t="s">
        <v>642</v>
      </c>
      <c r="B135" s="47" t="s">
        <v>643</v>
      </c>
    </row>
    <row r="136" spans="1:2" x14ac:dyDescent="0.25">
      <c r="A136" s="46" t="s">
        <v>644</v>
      </c>
      <c r="B136" s="47" t="s">
        <v>645</v>
      </c>
    </row>
    <row r="137" spans="1:2" x14ac:dyDescent="0.25">
      <c r="A137" s="46" t="s">
        <v>646</v>
      </c>
      <c r="B137" s="47" t="s">
        <v>647</v>
      </c>
    </row>
    <row r="138" spans="1:2" x14ac:dyDescent="0.25">
      <c r="A138" s="46" t="s">
        <v>648</v>
      </c>
      <c r="B138" s="47" t="s">
        <v>649</v>
      </c>
    </row>
    <row r="139" spans="1:2" x14ac:dyDescent="0.25">
      <c r="A139" s="46" t="s">
        <v>650</v>
      </c>
      <c r="B139" s="47" t="s">
        <v>651</v>
      </c>
    </row>
    <row r="140" spans="1:2" x14ac:dyDescent="0.25">
      <c r="A140" s="46" t="s">
        <v>652</v>
      </c>
      <c r="B140" s="47" t="s">
        <v>653</v>
      </c>
    </row>
    <row r="141" spans="1:2" ht="31.5" x14ac:dyDescent="0.25">
      <c r="A141" s="46" t="s">
        <v>654</v>
      </c>
      <c r="B141" s="47" t="s">
        <v>655</v>
      </c>
    </row>
    <row r="142" spans="1:2" x14ac:dyDescent="0.25">
      <c r="A142" s="46" t="s">
        <v>656</v>
      </c>
      <c r="B142" s="47" t="s">
        <v>657</v>
      </c>
    </row>
    <row r="143" spans="1:2" x14ac:dyDescent="0.25">
      <c r="A143" s="46" t="s">
        <v>658</v>
      </c>
      <c r="B143" s="47" t="s">
        <v>659</v>
      </c>
    </row>
    <row r="144" spans="1:2" x14ac:dyDescent="0.25">
      <c r="A144" s="46" t="s">
        <v>660</v>
      </c>
      <c r="B144" s="47" t="s">
        <v>661</v>
      </c>
    </row>
    <row r="145" spans="1:2" x14ac:dyDescent="0.25">
      <c r="A145" s="46" t="s">
        <v>662</v>
      </c>
      <c r="B145" s="47" t="s">
        <v>663</v>
      </c>
    </row>
    <row r="146" spans="1:2" x14ac:dyDescent="0.25">
      <c r="A146" s="46" t="s">
        <v>664</v>
      </c>
      <c r="B146" s="47" t="s">
        <v>665</v>
      </c>
    </row>
    <row r="147" spans="1:2" x14ac:dyDescent="0.25">
      <c r="A147" s="46" t="s">
        <v>666</v>
      </c>
      <c r="B147" s="47" t="s">
        <v>667</v>
      </c>
    </row>
    <row r="148" spans="1:2" ht="31.5" x14ac:dyDescent="0.25">
      <c r="A148" s="46" t="s">
        <v>668</v>
      </c>
      <c r="B148" s="47" t="s">
        <v>669</v>
      </c>
    </row>
    <row r="149" spans="1:2" x14ac:dyDescent="0.25">
      <c r="A149" s="46" t="s">
        <v>670</v>
      </c>
      <c r="B149" s="47" t="s">
        <v>671</v>
      </c>
    </row>
    <row r="150" spans="1:2" x14ac:dyDescent="0.25">
      <c r="A150" s="46" t="s">
        <v>672</v>
      </c>
      <c r="B150" s="47" t="s">
        <v>673</v>
      </c>
    </row>
    <row r="151" spans="1:2" x14ac:dyDescent="0.25">
      <c r="A151" s="46" t="s">
        <v>674</v>
      </c>
      <c r="B151" s="47" t="s">
        <v>675</v>
      </c>
    </row>
    <row r="152" spans="1:2" x14ac:dyDescent="0.25">
      <c r="A152" s="46" t="s">
        <v>676</v>
      </c>
      <c r="B152" s="47" t="s">
        <v>663</v>
      </c>
    </row>
    <row r="153" spans="1:2" x14ac:dyDescent="0.25">
      <c r="A153" s="46" t="s">
        <v>677</v>
      </c>
      <c r="B153" s="47" t="s">
        <v>678</v>
      </c>
    </row>
    <row r="154" spans="1:2" x14ac:dyDescent="0.25">
      <c r="A154" s="46" t="s">
        <v>679</v>
      </c>
      <c r="B154" s="47" t="s">
        <v>680</v>
      </c>
    </row>
    <row r="155" spans="1:2" ht="31.5" x14ac:dyDescent="0.25">
      <c r="A155" s="46" t="s">
        <v>681</v>
      </c>
      <c r="B155" s="47" t="s">
        <v>682</v>
      </c>
    </row>
    <row r="156" spans="1:2" x14ac:dyDescent="0.25">
      <c r="A156" s="46" t="s">
        <v>683</v>
      </c>
      <c r="B156" s="47" t="s">
        <v>684</v>
      </c>
    </row>
    <row r="157" spans="1:2" x14ac:dyDescent="0.25">
      <c r="A157" s="46" t="s">
        <v>685</v>
      </c>
      <c r="B157" s="47" t="s">
        <v>686</v>
      </c>
    </row>
    <row r="158" spans="1:2" x14ac:dyDescent="0.25">
      <c r="A158" s="46" t="s">
        <v>687</v>
      </c>
      <c r="B158" s="47" t="s">
        <v>688</v>
      </c>
    </row>
    <row r="159" spans="1:2" x14ac:dyDescent="0.25">
      <c r="A159" s="46" t="s">
        <v>689</v>
      </c>
      <c r="B159" s="47" t="s">
        <v>690</v>
      </c>
    </row>
    <row r="160" spans="1:2" x14ac:dyDescent="0.25">
      <c r="A160" s="46" t="s">
        <v>691</v>
      </c>
      <c r="B160" s="47" t="s">
        <v>692</v>
      </c>
    </row>
    <row r="161" spans="1:2" x14ac:dyDescent="0.25">
      <c r="A161" s="46" t="s">
        <v>693</v>
      </c>
      <c r="B161" s="47" t="s">
        <v>694</v>
      </c>
    </row>
    <row r="162" spans="1:2" x14ac:dyDescent="0.25">
      <c r="A162" s="46" t="s">
        <v>695</v>
      </c>
      <c r="B162" s="47" t="s">
        <v>696</v>
      </c>
    </row>
    <row r="163" spans="1:2" x14ac:dyDescent="0.25">
      <c r="A163" s="46" t="s">
        <v>697</v>
      </c>
      <c r="B163" s="47" t="s">
        <v>698</v>
      </c>
    </row>
    <row r="164" spans="1:2" x14ac:dyDescent="0.25">
      <c r="A164" s="46" t="s">
        <v>699</v>
      </c>
      <c r="B164" s="47" t="s">
        <v>700</v>
      </c>
    </row>
    <row r="165" spans="1:2" x14ac:dyDescent="0.25">
      <c r="A165" s="46" t="s">
        <v>701</v>
      </c>
      <c r="B165" s="47" t="s">
        <v>702</v>
      </c>
    </row>
    <row r="166" spans="1:2" x14ac:dyDescent="0.25">
      <c r="A166" s="46" t="s">
        <v>703</v>
      </c>
      <c r="B166" s="47" t="s">
        <v>704</v>
      </c>
    </row>
    <row r="167" spans="1:2" x14ac:dyDescent="0.25">
      <c r="A167" s="46" t="s">
        <v>705</v>
      </c>
      <c r="B167" s="47" t="s">
        <v>706</v>
      </c>
    </row>
    <row r="168" spans="1:2" x14ac:dyDescent="0.25">
      <c r="A168" s="46" t="s">
        <v>707</v>
      </c>
      <c r="B168" s="47" t="s">
        <v>708</v>
      </c>
    </row>
    <row r="169" spans="1:2" x14ac:dyDescent="0.25">
      <c r="A169" s="46" t="s">
        <v>709</v>
      </c>
      <c r="B169" s="47" t="s">
        <v>710</v>
      </c>
    </row>
    <row r="170" spans="1:2" x14ac:dyDescent="0.25">
      <c r="A170" s="46" t="s">
        <v>711</v>
      </c>
      <c r="B170" s="47" t="s">
        <v>712</v>
      </c>
    </row>
    <row r="171" spans="1:2" x14ac:dyDescent="0.25">
      <c r="A171" s="46" t="s">
        <v>713</v>
      </c>
      <c r="B171" s="47" t="s">
        <v>714</v>
      </c>
    </row>
    <row r="172" spans="1:2" x14ac:dyDescent="0.25">
      <c r="A172" s="46" t="s">
        <v>715</v>
      </c>
      <c r="B172" s="47" t="s">
        <v>716</v>
      </c>
    </row>
    <row r="173" spans="1:2" x14ac:dyDescent="0.25">
      <c r="A173" s="46" t="s">
        <v>717</v>
      </c>
      <c r="B173" s="47" t="s">
        <v>718</v>
      </c>
    </row>
    <row r="174" spans="1:2" x14ac:dyDescent="0.25">
      <c r="A174" s="46" t="s">
        <v>719</v>
      </c>
      <c r="B174" s="47" t="s">
        <v>720</v>
      </c>
    </row>
    <row r="175" spans="1:2" x14ac:dyDescent="0.25">
      <c r="A175" s="46" t="s">
        <v>670</v>
      </c>
      <c r="B175" s="47" t="s">
        <v>671</v>
      </c>
    </row>
    <row r="176" spans="1:2" x14ac:dyDescent="0.25">
      <c r="A176" s="46" t="s">
        <v>721</v>
      </c>
      <c r="B176" s="47" t="s">
        <v>722</v>
      </c>
    </row>
    <row r="177" spans="1:2" x14ac:dyDescent="0.25">
      <c r="A177" s="46" t="s">
        <v>723</v>
      </c>
      <c r="B177" s="47" t="s">
        <v>724</v>
      </c>
    </row>
    <row r="178" spans="1:2" ht="31.5" x14ac:dyDescent="0.25">
      <c r="A178" s="46" t="s">
        <v>725</v>
      </c>
      <c r="B178" s="47" t="s">
        <v>726</v>
      </c>
    </row>
    <row r="179" spans="1:2" ht="31.5" x14ac:dyDescent="0.25">
      <c r="A179" s="46" t="s">
        <v>727</v>
      </c>
      <c r="B179" s="47" t="s">
        <v>728</v>
      </c>
    </row>
    <row r="180" spans="1:2" ht="31.5" x14ac:dyDescent="0.25">
      <c r="A180" s="46" t="s">
        <v>729</v>
      </c>
      <c r="B180" s="47" t="s">
        <v>730</v>
      </c>
    </row>
    <row r="181" spans="1:2" ht="31.5" x14ac:dyDescent="0.25">
      <c r="A181" s="46" t="s">
        <v>731</v>
      </c>
      <c r="B181" s="47" t="s">
        <v>732</v>
      </c>
    </row>
    <row r="182" spans="1:2" ht="31.5" x14ac:dyDescent="0.25">
      <c r="A182" s="46" t="s">
        <v>733</v>
      </c>
      <c r="B182" s="47" t="s">
        <v>734</v>
      </c>
    </row>
    <row r="183" spans="1:2" ht="31.5" x14ac:dyDescent="0.25">
      <c r="A183" s="46" t="s">
        <v>735</v>
      </c>
      <c r="B183" s="47" t="s">
        <v>736</v>
      </c>
    </row>
    <row r="184" spans="1:2" ht="31.5" x14ac:dyDescent="0.25">
      <c r="A184" s="46" t="s">
        <v>737</v>
      </c>
      <c r="B184" s="47" t="s">
        <v>738</v>
      </c>
    </row>
    <row r="185" spans="1:2" ht="31.5" x14ac:dyDescent="0.25">
      <c r="A185" s="46" t="s">
        <v>739</v>
      </c>
      <c r="B185" s="47" t="s">
        <v>740</v>
      </c>
    </row>
    <row r="186" spans="1:2" ht="31.5" x14ac:dyDescent="0.25">
      <c r="A186" s="46" t="s">
        <v>741</v>
      </c>
      <c r="B186" s="47" t="s">
        <v>742</v>
      </c>
    </row>
    <row r="187" spans="1:2" ht="31.5" x14ac:dyDescent="0.25">
      <c r="A187" s="46" t="s">
        <v>743</v>
      </c>
      <c r="B187" s="47" t="s">
        <v>744</v>
      </c>
    </row>
    <row r="188" spans="1:2" ht="31.5" x14ac:dyDescent="0.25">
      <c r="A188" s="46" t="s">
        <v>745</v>
      </c>
      <c r="B188" s="47" t="s">
        <v>746</v>
      </c>
    </row>
    <row r="189" spans="1:2" ht="31.5" x14ac:dyDescent="0.25">
      <c r="A189" s="46" t="s">
        <v>747</v>
      </c>
      <c r="B189" s="47" t="s">
        <v>748</v>
      </c>
    </row>
    <row r="190" spans="1:2" ht="31.5" x14ac:dyDescent="0.25">
      <c r="A190" s="46" t="s">
        <v>749</v>
      </c>
      <c r="B190" s="47" t="s">
        <v>750</v>
      </c>
    </row>
    <row r="191" spans="1:2" ht="31.5" x14ac:dyDescent="0.25">
      <c r="A191" s="46" t="s">
        <v>751</v>
      </c>
      <c r="B191" s="47" t="s">
        <v>752</v>
      </c>
    </row>
    <row r="192" spans="1:2" ht="31.5" x14ac:dyDescent="0.25">
      <c r="A192" s="46" t="s">
        <v>753</v>
      </c>
      <c r="B192" s="47" t="s">
        <v>754</v>
      </c>
    </row>
    <row r="193" spans="1:2" ht="31.5" x14ac:dyDescent="0.25">
      <c r="A193" s="46" t="s">
        <v>755</v>
      </c>
      <c r="B193" s="47" t="s">
        <v>756</v>
      </c>
    </row>
    <row r="194" spans="1:2" ht="31.5" x14ac:dyDescent="0.25">
      <c r="A194" s="46" t="s">
        <v>757</v>
      </c>
      <c r="B194" s="47" t="s">
        <v>758</v>
      </c>
    </row>
    <row r="195" spans="1:2" ht="31.5" x14ac:dyDescent="0.25">
      <c r="A195" s="46" t="s">
        <v>759</v>
      </c>
      <c r="B195" s="47" t="s">
        <v>760</v>
      </c>
    </row>
    <row r="196" spans="1:2" ht="31.5" x14ac:dyDescent="0.25">
      <c r="A196" s="46" t="s">
        <v>761</v>
      </c>
      <c r="B196" s="47" t="s">
        <v>762</v>
      </c>
    </row>
    <row r="197" spans="1:2" ht="31.5" x14ac:dyDescent="0.25">
      <c r="A197" s="46" t="s">
        <v>763</v>
      </c>
      <c r="B197" s="47" t="s">
        <v>764</v>
      </c>
    </row>
    <row r="198" spans="1:2" ht="31.5" x14ac:dyDescent="0.25">
      <c r="A198" s="46" t="s">
        <v>765</v>
      </c>
      <c r="B198" s="47" t="s">
        <v>766</v>
      </c>
    </row>
    <row r="199" spans="1:2" ht="31.5" x14ac:dyDescent="0.25">
      <c r="A199" s="46" t="s">
        <v>767</v>
      </c>
      <c r="B199" s="47" t="s">
        <v>768</v>
      </c>
    </row>
    <row r="200" spans="1:2" ht="31.5" x14ac:dyDescent="0.25">
      <c r="A200" s="46" t="s">
        <v>769</v>
      </c>
      <c r="B200" s="47" t="s">
        <v>770</v>
      </c>
    </row>
    <row r="201" spans="1:2" ht="31.5" x14ac:dyDescent="0.25">
      <c r="A201" s="46" t="s">
        <v>771</v>
      </c>
      <c r="B201" s="47" t="s">
        <v>772</v>
      </c>
    </row>
    <row r="202" spans="1:2" ht="31.5" x14ac:dyDescent="0.25">
      <c r="A202" s="46" t="s">
        <v>773</v>
      </c>
      <c r="B202" s="47" t="s">
        <v>774</v>
      </c>
    </row>
    <row r="203" spans="1:2" ht="31.5" x14ac:dyDescent="0.25">
      <c r="A203" s="46" t="s">
        <v>775</v>
      </c>
      <c r="B203" s="47" t="s">
        <v>776</v>
      </c>
    </row>
    <row r="204" spans="1:2" ht="31.5" x14ac:dyDescent="0.25">
      <c r="A204" s="46" t="s">
        <v>777</v>
      </c>
      <c r="B204" s="47" t="s">
        <v>778</v>
      </c>
    </row>
    <row r="205" spans="1:2" ht="31.5" x14ac:dyDescent="0.25">
      <c r="A205" s="46" t="s">
        <v>779</v>
      </c>
      <c r="B205" s="47" t="s">
        <v>780</v>
      </c>
    </row>
    <row r="206" spans="1:2" ht="31.5" x14ac:dyDescent="0.25">
      <c r="A206" s="46" t="s">
        <v>781</v>
      </c>
      <c r="B206" s="47" t="s">
        <v>782</v>
      </c>
    </row>
    <row r="207" spans="1:2" ht="31.5" x14ac:dyDescent="0.25">
      <c r="A207" s="46" t="s">
        <v>783</v>
      </c>
      <c r="B207" s="47" t="s">
        <v>784</v>
      </c>
    </row>
    <row r="208" spans="1:2" ht="31.5" x14ac:dyDescent="0.25">
      <c r="A208" s="46" t="s">
        <v>785</v>
      </c>
      <c r="B208" s="47" t="s">
        <v>786</v>
      </c>
    </row>
    <row r="209" spans="1:2" ht="31.5" x14ac:dyDescent="0.25">
      <c r="A209" s="46" t="s">
        <v>787</v>
      </c>
      <c r="B209" s="47" t="s">
        <v>788</v>
      </c>
    </row>
    <row r="210" spans="1:2" ht="31.5" x14ac:dyDescent="0.25">
      <c r="A210" s="46" t="s">
        <v>789</v>
      </c>
      <c r="B210" s="47" t="s">
        <v>790</v>
      </c>
    </row>
    <row r="211" spans="1:2" x14ac:dyDescent="0.25">
      <c r="A211" s="46" t="s">
        <v>791</v>
      </c>
      <c r="B211" s="47" t="s">
        <v>792</v>
      </c>
    </row>
    <row r="212" spans="1:2" ht="31.5" x14ac:dyDescent="0.25">
      <c r="A212" s="46" t="s">
        <v>793</v>
      </c>
      <c r="B212" s="47" t="s">
        <v>794</v>
      </c>
    </row>
    <row r="213" spans="1:2" ht="31.5" x14ac:dyDescent="0.25">
      <c r="A213" s="46" t="s">
        <v>795</v>
      </c>
      <c r="B213" s="47" t="s">
        <v>796</v>
      </c>
    </row>
    <row r="214" spans="1:2" ht="31.5" x14ac:dyDescent="0.25">
      <c r="A214" s="46" t="s">
        <v>797</v>
      </c>
      <c r="B214" s="47" t="s">
        <v>798</v>
      </c>
    </row>
    <row r="215" spans="1:2" ht="31.5" x14ac:dyDescent="0.25">
      <c r="A215" s="46" t="s">
        <v>799</v>
      </c>
      <c r="B215" s="47" t="s">
        <v>800</v>
      </c>
    </row>
    <row r="216" spans="1:2" ht="31.5" x14ac:dyDescent="0.25">
      <c r="A216" s="46" t="s">
        <v>801</v>
      </c>
      <c r="B216" s="47" t="s">
        <v>802</v>
      </c>
    </row>
    <row r="217" spans="1:2" ht="31.5" x14ac:dyDescent="0.25">
      <c r="A217" s="46" t="s">
        <v>803</v>
      </c>
      <c r="B217" s="47" t="s">
        <v>804</v>
      </c>
    </row>
    <row r="218" spans="1:2" ht="31.5" x14ac:dyDescent="0.25">
      <c r="A218" s="46" t="s">
        <v>805</v>
      </c>
      <c r="B218" s="47" t="s">
        <v>806</v>
      </c>
    </row>
    <row r="219" spans="1:2" ht="31.5" x14ac:dyDescent="0.25">
      <c r="A219" s="46" t="s">
        <v>807</v>
      </c>
      <c r="B219" s="47" t="s">
        <v>808</v>
      </c>
    </row>
    <row r="220" spans="1:2" ht="31.5" x14ac:dyDescent="0.25">
      <c r="A220" s="46" t="s">
        <v>809</v>
      </c>
      <c r="B220" s="47" t="s">
        <v>810</v>
      </c>
    </row>
    <row r="221" spans="1:2" ht="31.5" x14ac:dyDescent="0.25">
      <c r="A221" s="46" t="s">
        <v>811</v>
      </c>
      <c r="B221" s="47" t="s">
        <v>812</v>
      </c>
    </row>
    <row r="222" spans="1:2" ht="31.5" x14ac:dyDescent="0.25">
      <c r="A222" s="46" t="s">
        <v>813</v>
      </c>
      <c r="B222" s="47" t="s">
        <v>814</v>
      </c>
    </row>
    <row r="223" spans="1:2" x14ac:dyDescent="0.25">
      <c r="A223" s="46" t="s">
        <v>815</v>
      </c>
      <c r="B223" s="47" t="s">
        <v>816</v>
      </c>
    </row>
    <row r="224" spans="1:2" ht="31.5" x14ac:dyDescent="0.25">
      <c r="A224" s="46" t="s">
        <v>817</v>
      </c>
      <c r="B224" s="47" t="s">
        <v>818</v>
      </c>
    </row>
    <row r="225" spans="1:2" ht="31.5" x14ac:dyDescent="0.25">
      <c r="A225" s="46" t="s">
        <v>819</v>
      </c>
      <c r="B225" s="47" t="s">
        <v>820</v>
      </c>
    </row>
    <row r="226" spans="1:2" ht="31.5" x14ac:dyDescent="0.25">
      <c r="A226" s="46" t="s">
        <v>821</v>
      </c>
      <c r="B226" s="47" t="s">
        <v>822</v>
      </c>
    </row>
    <row r="227" spans="1:2" ht="31.5" x14ac:dyDescent="0.25">
      <c r="A227" s="46" t="s">
        <v>823</v>
      </c>
      <c r="B227" s="47" t="s">
        <v>824</v>
      </c>
    </row>
    <row r="228" spans="1:2" ht="31.5" x14ac:dyDescent="0.25">
      <c r="A228" s="46" t="s">
        <v>825</v>
      </c>
      <c r="B228" s="47" t="s">
        <v>826</v>
      </c>
    </row>
    <row r="229" spans="1:2" ht="31.5" x14ac:dyDescent="0.25">
      <c r="A229" s="46" t="s">
        <v>827</v>
      </c>
      <c r="B229" s="47" t="s">
        <v>828</v>
      </c>
    </row>
    <row r="230" spans="1:2" ht="31.5" x14ac:dyDescent="0.25">
      <c r="A230" s="46" t="s">
        <v>829</v>
      </c>
      <c r="B230" s="47" t="s">
        <v>830</v>
      </c>
    </row>
    <row r="231" spans="1:2" ht="31.5" x14ac:dyDescent="0.25">
      <c r="A231" s="46" t="s">
        <v>831</v>
      </c>
      <c r="B231" s="47" t="s">
        <v>832</v>
      </c>
    </row>
    <row r="232" spans="1:2" ht="31.5" x14ac:dyDescent="0.25">
      <c r="A232" s="46" t="s">
        <v>833</v>
      </c>
      <c r="B232" s="47" t="s">
        <v>834</v>
      </c>
    </row>
    <row r="233" spans="1:2" ht="31.5" x14ac:dyDescent="0.25">
      <c r="A233" s="46" t="s">
        <v>835</v>
      </c>
      <c r="B233" s="47" t="s">
        <v>836</v>
      </c>
    </row>
    <row r="234" spans="1:2" ht="31.5" x14ac:dyDescent="0.25">
      <c r="A234" s="46" t="s">
        <v>837</v>
      </c>
      <c r="B234" s="47" t="s">
        <v>838</v>
      </c>
    </row>
    <row r="235" spans="1:2" ht="31.5" x14ac:dyDescent="0.25">
      <c r="A235" s="46" t="s">
        <v>839</v>
      </c>
      <c r="B235" s="47" t="s">
        <v>840</v>
      </c>
    </row>
    <row r="236" spans="1:2" x14ac:dyDescent="0.25">
      <c r="A236" s="46" t="s">
        <v>841</v>
      </c>
      <c r="B236" s="47" t="s">
        <v>842</v>
      </c>
    </row>
    <row r="237" spans="1:2" x14ac:dyDescent="0.25">
      <c r="A237" s="46" t="s">
        <v>843</v>
      </c>
      <c r="B237" s="47" t="s">
        <v>844</v>
      </c>
    </row>
    <row r="238" spans="1:2" x14ac:dyDescent="0.25">
      <c r="A238" s="46" t="s">
        <v>845</v>
      </c>
      <c r="B238" s="47" t="s">
        <v>846</v>
      </c>
    </row>
    <row r="239" spans="1:2" x14ac:dyDescent="0.25">
      <c r="A239" s="46" t="s">
        <v>847</v>
      </c>
      <c r="B239" s="47" t="s">
        <v>848</v>
      </c>
    </row>
    <row r="240" spans="1:2" x14ac:dyDescent="0.25">
      <c r="A240" s="46" t="s">
        <v>849</v>
      </c>
      <c r="B240" s="47" t="s">
        <v>850</v>
      </c>
    </row>
    <row r="241" spans="1:2" x14ac:dyDescent="0.25">
      <c r="A241" s="46" t="s">
        <v>851</v>
      </c>
      <c r="B241" s="47" t="s">
        <v>852</v>
      </c>
    </row>
    <row r="242" spans="1:2" x14ac:dyDescent="0.25">
      <c r="A242" s="46" t="s">
        <v>853</v>
      </c>
      <c r="B242" s="47" t="s">
        <v>854</v>
      </c>
    </row>
    <row r="243" spans="1:2" x14ac:dyDescent="0.25">
      <c r="A243" s="46" t="s">
        <v>855</v>
      </c>
      <c r="B243" s="47" t="s">
        <v>856</v>
      </c>
    </row>
    <row r="244" spans="1:2" x14ac:dyDescent="0.25">
      <c r="A244" s="46" t="s">
        <v>857</v>
      </c>
      <c r="B244" s="47" t="s">
        <v>858</v>
      </c>
    </row>
    <row r="245" spans="1:2" x14ac:dyDescent="0.25">
      <c r="A245" s="46" t="s">
        <v>859</v>
      </c>
      <c r="B245" s="47" t="s">
        <v>860</v>
      </c>
    </row>
    <row r="246" spans="1:2" x14ac:dyDescent="0.25">
      <c r="A246" s="46" t="s">
        <v>861</v>
      </c>
      <c r="B246" s="47" t="s">
        <v>862</v>
      </c>
    </row>
    <row r="247" spans="1:2" x14ac:dyDescent="0.25">
      <c r="A247" s="46" t="s">
        <v>863</v>
      </c>
      <c r="B247" s="47" t="s">
        <v>864</v>
      </c>
    </row>
    <row r="248" spans="1:2" x14ac:dyDescent="0.25">
      <c r="A248" s="46" t="s">
        <v>865</v>
      </c>
      <c r="B248" s="47" t="s">
        <v>866</v>
      </c>
    </row>
    <row r="249" spans="1:2" x14ac:dyDescent="0.25">
      <c r="A249" s="46" t="s">
        <v>867</v>
      </c>
      <c r="B249" s="47" t="s">
        <v>868</v>
      </c>
    </row>
    <row r="250" spans="1:2" x14ac:dyDescent="0.25">
      <c r="A250" s="46" t="s">
        <v>869</v>
      </c>
      <c r="B250" s="47" t="s">
        <v>870</v>
      </c>
    </row>
    <row r="251" spans="1:2" ht="31.5" x14ac:dyDescent="0.25">
      <c r="A251" s="46" t="s">
        <v>871</v>
      </c>
      <c r="B251" s="47" t="s">
        <v>872</v>
      </c>
    </row>
    <row r="252" spans="1:2" x14ac:dyDescent="0.25">
      <c r="A252" s="46" t="s">
        <v>873</v>
      </c>
      <c r="B252" s="47" t="s">
        <v>874</v>
      </c>
    </row>
    <row r="253" spans="1:2" ht="31.5" x14ac:dyDescent="0.25">
      <c r="A253" s="46" t="s">
        <v>875</v>
      </c>
      <c r="B253" s="47" t="s">
        <v>876</v>
      </c>
    </row>
    <row r="254" spans="1:2" x14ac:dyDescent="0.25">
      <c r="A254" s="46" t="s">
        <v>877</v>
      </c>
      <c r="B254" s="47" t="s">
        <v>878</v>
      </c>
    </row>
    <row r="255" spans="1:2" x14ac:dyDescent="0.25">
      <c r="A255" s="46" t="s">
        <v>879</v>
      </c>
      <c r="B255" s="47" t="s">
        <v>880</v>
      </c>
    </row>
    <row r="256" spans="1:2" x14ac:dyDescent="0.25">
      <c r="A256" s="46" t="s">
        <v>881</v>
      </c>
      <c r="B256" s="47" t="s">
        <v>882</v>
      </c>
    </row>
    <row r="257" spans="1:2" ht="31.5" x14ac:dyDescent="0.25">
      <c r="A257" s="46" t="s">
        <v>883</v>
      </c>
      <c r="B257" s="47" t="s">
        <v>884</v>
      </c>
    </row>
    <row r="258" spans="1:2" x14ac:dyDescent="0.25">
      <c r="A258" s="46" t="s">
        <v>885</v>
      </c>
      <c r="B258" s="47" t="s">
        <v>886</v>
      </c>
    </row>
    <row r="259" spans="1:2" x14ac:dyDescent="0.25">
      <c r="A259" s="46" t="s">
        <v>887</v>
      </c>
      <c r="B259" s="47" t="s">
        <v>888</v>
      </c>
    </row>
    <row r="260" spans="1:2" x14ac:dyDescent="0.25">
      <c r="A260" s="46" t="s">
        <v>889</v>
      </c>
      <c r="B260" s="47" t="s">
        <v>890</v>
      </c>
    </row>
    <row r="261" spans="1:2" x14ac:dyDescent="0.25">
      <c r="A261" s="46" t="s">
        <v>891</v>
      </c>
      <c r="B261" s="47" t="s">
        <v>892</v>
      </c>
    </row>
    <row r="262" spans="1:2" x14ac:dyDescent="0.25">
      <c r="A262" s="46" t="s">
        <v>893</v>
      </c>
      <c r="B262" s="47" t="s">
        <v>894</v>
      </c>
    </row>
    <row r="263" spans="1:2" x14ac:dyDescent="0.25">
      <c r="A263" s="46" t="s">
        <v>895</v>
      </c>
      <c r="B263" s="47" t="s">
        <v>896</v>
      </c>
    </row>
    <row r="264" spans="1:2" x14ac:dyDescent="0.25">
      <c r="A264" s="46" t="s">
        <v>897</v>
      </c>
      <c r="B264" s="47" t="s">
        <v>898</v>
      </c>
    </row>
    <row r="265" spans="1:2" x14ac:dyDescent="0.25">
      <c r="A265" s="46" t="s">
        <v>899</v>
      </c>
      <c r="B265" s="47" t="s">
        <v>900</v>
      </c>
    </row>
    <row r="266" spans="1:2" x14ac:dyDescent="0.25">
      <c r="A266" s="46" t="s">
        <v>901</v>
      </c>
      <c r="B266" s="47" t="s">
        <v>902</v>
      </c>
    </row>
    <row r="267" spans="1:2" x14ac:dyDescent="0.25">
      <c r="A267" s="46" t="s">
        <v>903</v>
      </c>
      <c r="B267" s="47" t="s">
        <v>904</v>
      </c>
    </row>
    <row r="268" spans="1:2" x14ac:dyDescent="0.25">
      <c r="A268" s="46" t="s">
        <v>905</v>
      </c>
      <c r="B268" s="47" t="s">
        <v>906</v>
      </c>
    </row>
    <row r="269" spans="1:2" x14ac:dyDescent="0.25">
      <c r="A269" s="46" t="s">
        <v>907</v>
      </c>
      <c r="B269" s="47" t="s">
        <v>908</v>
      </c>
    </row>
    <row r="270" spans="1:2" x14ac:dyDescent="0.25">
      <c r="A270" s="46" t="s">
        <v>909</v>
      </c>
      <c r="B270" s="47" t="s">
        <v>910</v>
      </c>
    </row>
    <row r="271" spans="1:2" x14ac:dyDescent="0.25">
      <c r="A271" s="46" t="s">
        <v>911</v>
      </c>
      <c r="B271" s="47" t="s">
        <v>912</v>
      </c>
    </row>
    <row r="272" spans="1:2" ht="31.5" x14ac:dyDescent="0.25">
      <c r="A272" s="46" t="s">
        <v>913</v>
      </c>
      <c r="B272" s="47" t="s">
        <v>914</v>
      </c>
    </row>
    <row r="273" spans="1:2" x14ac:dyDescent="0.25">
      <c r="A273" s="46" t="s">
        <v>915</v>
      </c>
      <c r="B273" s="47" t="s">
        <v>916</v>
      </c>
    </row>
    <row r="274" spans="1:2" ht="31.5" x14ac:dyDescent="0.25">
      <c r="A274" s="46" t="s">
        <v>917</v>
      </c>
      <c r="B274" s="47" t="s">
        <v>918</v>
      </c>
    </row>
    <row r="275" spans="1:2" ht="31.5" x14ac:dyDescent="0.25">
      <c r="A275" s="46" t="s">
        <v>919</v>
      </c>
      <c r="B275" s="47" t="s">
        <v>920</v>
      </c>
    </row>
    <row r="276" spans="1:2" x14ac:dyDescent="0.25">
      <c r="A276" s="46" t="s">
        <v>921</v>
      </c>
      <c r="B276" s="47" t="s">
        <v>922</v>
      </c>
    </row>
    <row r="277" spans="1:2" x14ac:dyDescent="0.25">
      <c r="A277" s="46" t="s">
        <v>923</v>
      </c>
      <c r="B277" s="47" t="s">
        <v>924</v>
      </c>
    </row>
    <row r="278" spans="1:2" x14ac:dyDescent="0.25">
      <c r="A278" s="46" t="s">
        <v>925</v>
      </c>
      <c r="B278" s="47" t="s">
        <v>926</v>
      </c>
    </row>
    <row r="279" spans="1:2" x14ac:dyDescent="0.25">
      <c r="A279" s="46" t="s">
        <v>927</v>
      </c>
      <c r="B279" s="47" t="s">
        <v>928</v>
      </c>
    </row>
    <row r="280" spans="1:2" x14ac:dyDescent="0.25">
      <c r="A280" s="46" t="s">
        <v>929</v>
      </c>
      <c r="B280" s="47" t="s">
        <v>930</v>
      </c>
    </row>
    <row r="281" spans="1:2" ht="31.5" x14ac:dyDescent="0.25">
      <c r="A281" s="46" t="s">
        <v>931</v>
      </c>
      <c r="B281" s="47" t="s">
        <v>932</v>
      </c>
    </row>
    <row r="282" spans="1:2" ht="31.5" x14ac:dyDescent="0.25">
      <c r="A282" s="46" t="s">
        <v>933</v>
      </c>
      <c r="B282" s="47" t="s">
        <v>934</v>
      </c>
    </row>
    <row r="283" spans="1:2" ht="31.5" x14ac:dyDescent="0.25">
      <c r="A283" s="46" t="s">
        <v>935</v>
      </c>
      <c r="B283" s="47" t="s">
        <v>936</v>
      </c>
    </row>
    <row r="284" spans="1:2" ht="31.5" x14ac:dyDescent="0.25">
      <c r="A284" s="46" t="s">
        <v>937</v>
      </c>
      <c r="B284" s="47" t="s">
        <v>938</v>
      </c>
    </row>
    <row r="285" spans="1:2" x14ac:dyDescent="0.25">
      <c r="A285" s="46" t="s">
        <v>939</v>
      </c>
      <c r="B285" s="47" t="s">
        <v>940</v>
      </c>
    </row>
    <row r="286" spans="1:2" x14ac:dyDescent="0.25">
      <c r="A286" s="46" t="s">
        <v>941</v>
      </c>
      <c r="B286" s="47" t="s">
        <v>942</v>
      </c>
    </row>
    <row r="287" spans="1:2" x14ac:dyDescent="0.25">
      <c r="A287" s="46" t="s">
        <v>943</v>
      </c>
      <c r="B287" s="47" t="s">
        <v>944</v>
      </c>
    </row>
    <row r="288" spans="1:2" x14ac:dyDescent="0.25">
      <c r="A288" s="46" t="s">
        <v>945</v>
      </c>
      <c r="B288" s="47" t="s">
        <v>946</v>
      </c>
    </row>
    <row r="289" spans="1:2" x14ac:dyDescent="0.25">
      <c r="A289" s="46" t="s">
        <v>965</v>
      </c>
      <c r="B289" s="47" t="s">
        <v>966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D7"/>
  <sheetViews>
    <sheetView workbookViewId="0">
      <selection sqref="A1:C2"/>
    </sheetView>
  </sheetViews>
  <sheetFormatPr defaultRowHeight="15.75" x14ac:dyDescent="0.25"/>
  <cols>
    <col min="1" max="1" width="12.625" bestFit="1" customWidth="1"/>
    <col min="2" max="2" width="10.875" bestFit="1" customWidth="1"/>
    <col min="3" max="3" width="5.25" bestFit="1" customWidth="1"/>
    <col min="4" max="4" width="45" bestFit="1" customWidth="1"/>
  </cols>
  <sheetData>
    <row r="1" spans="1:4" x14ac:dyDescent="0.25">
      <c r="A1" t="s">
        <v>163</v>
      </c>
      <c r="B1" t="s">
        <v>164</v>
      </c>
      <c r="C1" t="s">
        <v>165</v>
      </c>
      <c r="D1" t="s">
        <v>42</v>
      </c>
    </row>
    <row r="2" spans="1:4" x14ac:dyDescent="0.25">
      <c r="B2" s="2">
        <v>73050</v>
      </c>
      <c r="C2" t="s">
        <v>131</v>
      </c>
      <c r="D2" t="s">
        <v>1151</v>
      </c>
    </row>
    <row r="3" spans="1:4" x14ac:dyDescent="0.25">
      <c r="A3">
        <v>2</v>
      </c>
      <c r="B3" s="2">
        <v>73050</v>
      </c>
      <c r="C3" t="s">
        <v>131</v>
      </c>
      <c r="D3" t="s">
        <v>961</v>
      </c>
    </row>
    <row r="4" spans="1:4" x14ac:dyDescent="0.25">
      <c r="A4">
        <v>3</v>
      </c>
      <c r="B4" s="2">
        <v>73050</v>
      </c>
      <c r="C4" t="s">
        <v>131</v>
      </c>
      <c r="D4" t="s">
        <v>962</v>
      </c>
    </row>
    <row r="5" spans="1:4" x14ac:dyDescent="0.25">
      <c r="A5">
        <v>4</v>
      </c>
      <c r="B5" s="2">
        <v>73050</v>
      </c>
      <c r="C5" t="s">
        <v>131</v>
      </c>
      <c r="D5" t="s">
        <v>963</v>
      </c>
    </row>
    <row r="6" spans="1:4" x14ac:dyDescent="0.25">
      <c r="A6">
        <v>5</v>
      </c>
      <c r="B6" s="2"/>
      <c r="C6" t="s">
        <v>131</v>
      </c>
      <c r="D6" t="s">
        <v>1227</v>
      </c>
    </row>
    <row r="7" spans="1:4" x14ac:dyDescent="0.25">
      <c r="A7">
        <v>6</v>
      </c>
      <c r="B7" s="2"/>
      <c r="C7" t="s">
        <v>131</v>
      </c>
      <c r="D7" t="s">
        <v>1228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Q7"/>
  <sheetViews>
    <sheetView workbookViewId="0">
      <selection sqref="A1:Q5"/>
    </sheetView>
  </sheetViews>
  <sheetFormatPr defaultRowHeight="15.75" x14ac:dyDescent="0.25"/>
  <cols>
    <col min="1" max="1" width="14.25" customWidth="1"/>
    <col min="2" max="2" width="10.875" customWidth="1"/>
    <col min="3" max="3" width="45" customWidth="1"/>
    <col min="4" max="4" width="34.375" bestFit="1" customWidth="1"/>
    <col min="5" max="5" width="8.75" customWidth="1"/>
    <col min="6" max="6" width="9.75" customWidth="1"/>
    <col min="7" max="7" width="11" customWidth="1"/>
    <col min="8" max="8" width="12.625" customWidth="1"/>
    <col min="9" max="9" width="13.875" customWidth="1"/>
    <col min="10" max="10" width="16" customWidth="1"/>
    <col min="11" max="11" width="4.875" customWidth="1"/>
    <col min="12" max="12" width="16.875" customWidth="1"/>
    <col min="13" max="13" width="9.625" customWidth="1"/>
    <col min="14" max="14" width="15.25" customWidth="1"/>
    <col min="15" max="15" width="11.125" customWidth="1"/>
    <col min="16" max="16" width="13.625" customWidth="1"/>
    <col min="17" max="17" width="12.375" bestFit="1" customWidth="1"/>
    <col min="18" max="18" width="11" bestFit="1" customWidth="1"/>
    <col min="19" max="19" width="9.625" bestFit="1" customWidth="1"/>
    <col min="20" max="20" width="24.625" bestFit="1" customWidth="1"/>
  </cols>
  <sheetData>
    <row r="1" spans="1:17" x14ac:dyDescent="0.25">
      <c r="A1" t="s">
        <v>41</v>
      </c>
      <c r="B1" t="s">
        <v>164</v>
      </c>
      <c r="C1" t="s">
        <v>42</v>
      </c>
      <c r="D1" t="s">
        <v>162</v>
      </c>
      <c r="E1" t="s">
        <v>5</v>
      </c>
      <c r="F1" t="s">
        <v>65</v>
      </c>
      <c r="G1" t="s">
        <v>135</v>
      </c>
      <c r="H1" s="1" t="s">
        <v>163</v>
      </c>
      <c r="I1" t="s">
        <v>315</v>
      </c>
      <c r="J1" t="s">
        <v>334</v>
      </c>
      <c r="K1" t="s">
        <v>335</v>
      </c>
      <c r="L1" t="s">
        <v>336</v>
      </c>
      <c r="M1" t="s">
        <v>312</v>
      </c>
      <c r="N1" t="s">
        <v>337</v>
      </c>
      <c r="O1" t="s">
        <v>338</v>
      </c>
      <c r="P1" t="s">
        <v>311</v>
      </c>
      <c r="Q1" t="s">
        <v>329</v>
      </c>
    </row>
    <row r="2" spans="1:17" ht="31.5" x14ac:dyDescent="0.25">
      <c r="A2" t="s">
        <v>149</v>
      </c>
      <c r="B2" s="100">
        <v>73050</v>
      </c>
      <c r="C2" t="s">
        <v>1151</v>
      </c>
      <c r="D2" s="1" t="s">
        <v>1231</v>
      </c>
      <c r="N2" t="s">
        <v>131</v>
      </c>
      <c r="O2" t="s">
        <v>131</v>
      </c>
      <c r="P2" t="s">
        <v>39</v>
      </c>
      <c r="Q2" t="s">
        <v>1232</v>
      </c>
    </row>
    <row r="3" spans="1:17" ht="47.25" x14ac:dyDescent="0.25">
      <c r="A3" t="s">
        <v>150</v>
      </c>
      <c r="B3" s="100">
        <v>73050</v>
      </c>
      <c r="C3" t="s">
        <v>961</v>
      </c>
      <c r="D3" s="1" t="s">
        <v>1233</v>
      </c>
      <c r="N3" t="s">
        <v>131</v>
      </c>
      <c r="O3" t="s">
        <v>131</v>
      </c>
      <c r="P3" t="s">
        <v>131</v>
      </c>
      <c r="Q3" t="s">
        <v>1234</v>
      </c>
    </row>
    <row r="4" spans="1:17" ht="47.25" x14ac:dyDescent="0.25">
      <c r="A4" t="s">
        <v>151</v>
      </c>
      <c r="B4" s="100">
        <v>73050</v>
      </c>
      <c r="C4" t="s">
        <v>962</v>
      </c>
      <c r="D4" s="1" t="s">
        <v>1235</v>
      </c>
      <c r="N4" t="s">
        <v>131</v>
      </c>
      <c r="O4" t="s">
        <v>131</v>
      </c>
      <c r="P4" t="s">
        <v>131</v>
      </c>
      <c r="Q4" t="s">
        <v>1236</v>
      </c>
    </row>
    <row r="5" spans="1:17" ht="47.25" x14ac:dyDescent="0.25">
      <c r="A5" t="s">
        <v>152</v>
      </c>
      <c r="B5" s="100">
        <v>73050</v>
      </c>
      <c r="C5" t="s">
        <v>963</v>
      </c>
      <c r="D5" s="1" t="s">
        <v>1237</v>
      </c>
      <c r="N5" t="s">
        <v>131</v>
      </c>
      <c r="O5" t="s">
        <v>131</v>
      </c>
      <c r="P5" t="s">
        <v>131</v>
      </c>
      <c r="Q5" t="s">
        <v>1238</v>
      </c>
    </row>
    <row r="6" spans="1:17" ht="31.5" x14ac:dyDescent="0.25">
      <c r="A6" t="s">
        <v>153</v>
      </c>
      <c r="B6" s="100"/>
      <c r="C6" t="s">
        <v>1227</v>
      </c>
      <c r="D6" s="1" t="s">
        <v>1239</v>
      </c>
      <c r="N6" t="s">
        <v>131</v>
      </c>
      <c r="O6" t="s">
        <v>131</v>
      </c>
      <c r="P6" t="s">
        <v>131</v>
      </c>
      <c r="Q6" t="s">
        <v>131</v>
      </c>
    </row>
    <row r="7" spans="1:17" ht="31.5" x14ac:dyDescent="0.25">
      <c r="A7" t="s">
        <v>154</v>
      </c>
      <c r="B7" s="100"/>
      <c r="C7" t="s">
        <v>1228</v>
      </c>
      <c r="D7" s="1" t="s">
        <v>1240</v>
      </c>
      <c r="N7" t="s">
        <v>131</v>
      </c>
      <c r="O7" t="s">
        <v>131</v>
      </c>
      <c r="P7" t="s">
        <v>131</v>
      </c>
      <c r="Q7" t="s">
        <v>131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L9"/>
  <sheetViews>
    <sheetView showGridLines="0" zoomScale="85" zoomScaleNormal="85" workbookViewId="0">
      <pane ySplit="4" topLeftCell="A5" activePane="bottomLeft" state="frozen"/>
      <selection activeCell="F8" sqref="F8"/>
      <selection pane="bottomLeft" activeCell="E17" sqref="E17"/>
    </sheetView>
  </sheetViews>
  <sheetFormatPr defaultRowHeight="15.75" x14ac:dyDescent="0.25"/>
  <cols>
    <col min="1" max="1" width="11.625" customWidth="1"/>
    <col min="2" max="2" width="13.625" customWidth="1"/>
    <col min="3" max="3" width="15" customWidth="1"/>
    <col min="4" max="4" width="25.625" customWidth="1"/>
    <col min="5" max="5" width="32.875" customWidth="1"/>
    <col min="6" max="6" width="16.125" customWidth="1"/>
    <col min="7" max="7" width="12.625" customWidth="1"/>
    <col min="8" max="8" width="13.125" customWidth="1"/>
    <col min="9" max="9" width="19.75" customWidth="1"/>
    <col min="10" max="10" width="16.625" customWidth="1"/>
    <col min="11" max="11" width="22.25" customWidth="1"/>
    <col min="12" max="12" width="200.625" hidden="1" customWidth="1"/>
    <col min="13" max="13" width="24.125" customWidth="1"/>
    <col min="14" max="14" width="15.625" customWidth="1"/>
    <col min="15" max="15" width="22.75" customWidth="1"/>
    <col min="16" max="16" width="28.625" customWidth="1"/>
    <col min="17" max="17" width="14.625" bestFit="1" customWidth="1"/>
    <col min="18" max="20" width="29.75" customWidth="1"/>
    <col min="21" max="21" width="22.125" customWidth="1"/>
    <col min="22" max="22" width="22.25" customWidth="1"/>
    <col min="23" max="23" width="20" customWidth="1"/>
    <col min="24" max="24" width="24.25" customWidth="1"/>
  </cols>
  <sheetData>
    <row r="1" spans="1:12" ht="21" x14ac:dyDescent="0.35">
      <c r="A1" s="74" t="s">
        <v>161</v>
      </c>
    </row>
    <row r="2" spans="1:12" x14ac:dyDescent="0.25">
      <c r="A2" s="149" t="str">
        <f>название_объекта</f>
        <v>Жилой дом с инженерными сетями и благоустройством территории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" t="str">
        <f>A2</f>
        <v>Жилой дом с инженерными сетями и благоустройством территории</v>
      </c>
    </row>
    <row r="3" spans="1:12" ht="63" x14ac:dyDescent="0.25">
      <c r="A3" s="30" t="s">
        <v>139</v>
      </c>
      <c r="B3" s="30" t="s">
        <v>138</v>
      </c>
      <c r="C3" s="30" t="s">
        <v>140</v>
      </c>
      <c r="D3" s="30" t="s">
        <v>141</v>
      </c>
      <c r="E3" s="30" t="s">
        <v>142</v>
      </c>
      <c r="F3" s="30" t="s">
        <v>137</v>
      </c>
      <c r="G3" s="30" t="s">
        <v>143</v>
      </c>
      <c r="H3" s="30" t="s">
        <v>136</v>
      </c>
      <c r="I3" s="30" t="s">
        <v>144</v>
      </c>
      <c r="J3" s="30" t="s">
        <v>145</v>
      </c>
      <c r="K3" s="30" t="s">
        <v>146</v>
      </c>
    </row>
    <row r="4" spans="1:12" x14ac:dyDescent="0.25">
      <c r="A4" s="10" t="s">
        <v>149</v>
      </c>
      <c r="B4" s="10" t="s">
        <v>150</v>
      </c>
      <c r="C4" s="10" t="s">
        <v>151</v>
      </c>
      <c r="D4" s="10" t="s">
        <v>152</v>
      </c>
      <c r="E4" s="10" t="s">
        <v>153</v>
      </c>
      <c r="F4" s="10" t="s">
        <v>154</v>
      </c>
      <c r="G4" s="10" t="s">
        <v>155</v>
      </c>
      <c r="H4" s="10" t="s">
        <v>156</v>
      </c>
      <c r="I4" s="10" t="s">
        <v>157</v>
      </c>
      <c r="J4" s="10" t="s">
        <v>158</v>
      </c>
      <c r="K4" s="10" t="s">
        <v>159</v>
      </c>
    </row>
    <row r="5" spans="1:12" ht="62.1" customHeight="1" x14ac:dyDescent="0.25">
      <c r="A5" s="32">
        <v>73050</v>
      </c>
      <c r="B5" s="10"/>
      <c r="C5" s="19" t="s">
        <v>975</v>
      </c>
      <c r="D5" s="19" t="s">
        <v>1151</v>
      </c>
      <c r="E5" s="19" t="s">
        <v>1231</v>
      </c>
      <c r="F5" s="10"/>
      <c r="G5" s="10" t="s">
        <v>131</v>
      </c>
      <c r="H5" s="32"/>
      <c r="I5" s="31"/>
      <c r="J5" s="32"/>
      <c r="K5" s="31" t="s">
        <v>160</v>
      </c>
    </row>
    <row r="6" spans="1:12" ht="62.1" customHeight="1" x14ac:dyDescent="0.25">
      <c r="A6" s="32">
        <v>73050</v>
      </c>
      <c r="B6" s="10"/>
      <c r="C6" s="19" t="s">
        <v>976</v>
      </c>
      <c r="D6" s="19" t="s">
        <v>961</v>
      </c>
      <c r="E6" s="19" t="s">
        <v>1250</v>
      </c>
      <c r="F6" s="10"/>
      <c r="G6" s="10" t="s">
        <v>131</v>
      </c>
      <c r="H6" s="32"/>
      <c r="I6" s="31"/>
      <c r="J6" s="32"/>
      <c r="K6" s="31" t="s">
        <v>160</v>
      </c>
    </row>
    <row r="7" spans="1:12" ht="62.1" customHeight="1" x14ac:dyDescent="0.25">
      <c r="A7" s="32">
        <v>73050</v>
      </c>
      <c r="B7" s="10"/>
      <c r="C7" s="19" t="s">
        <v>977</v>
      </c>
      <c r="D7" s="19" t="s">
        <v>962</v>
      </c>
      <c r="E7" s="19" t="s">
        <v>1251</v>
      </c>
      <c r="F7" s="10"/>
      <c r="G7" s="10" t="s">
        <v>131</v>
      </c>
      <c r="H7" s="32"/>
      <c r="I7" s="31"/>
      <c r="J7" s="32"/>
      <c r="K7" s="31" t="s">
        <v>160</v>
      </c>
    </row>
    <row r="8" spans="1:12" ht="31.5" x14ac:dyDescent="0.25">
      <c r="A8" s="32">
        <v>73050</v>
      </c>
      <c r="B8" s="10"/>
      <c r="C8" s="19" t="s">
        <v>979</v>
      </c>
      <c r="D8" s="19" t="s">
        <v>963</v>
      </c>
      <c r="E8" s="19" t="s">
        <v>1252</v>
      </c>
      <c r="F8" s="10"/>
      <c r="G8" s="10" t="s">
        <v>131</v>
      </c>
      <c r="H8" s="32"/>
      <c r="I8" s="31"/>
      <c r="J8" s="32"/>
      <c r="K8" s="31" t="s">
        <v>160</v>
      </c>
    </row>
    <row r="9" spans="1:12" x14ac:dyDescent="0.25">
      <c r="A9" s="32">
        <v>73050</v>
      </c>
      <c r="B9" s="10"/>
      <c r="C9" s="19"/>
      <c r="D9" s="19" t="s">
        <v>1246</v>
      </c>
      <c r="E9" s="19" t="s">
        <v>1253</v>
      </c>
      <c r="F9" s="10"/>
      <c r="G9" s="10" t="s">
        <v>131</v>
      </c>
      <c r="H9" s="32"/>
      <c r="I9" s="31"/>
      <c r="J9" s="32"/>
      <c r="K9" s="31" t="s">
        <v>160</v>
      </c>
    </row>
  </sheetData>
  <mergeCells count="1">
    <mergeCell ref="A2:K2"/>
  </mergeCells>
  <phoneticPr fontId="2" type="noConversion"/>
  <pageMargins left="0.25" right="0.25" top="0.44" bottom="0.48" header="0.3" footer="0.3"/>
  <pageSetup paperSize="9" scale="68" fitToHeight="0" orientation="landscape" horizontalDpi="0" verticalDpi="0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K9"/>
  <sheetViews>
    <sheetView showGridLines="0" zoomScale="85" zoomScaleNormal="85" workbookViewId="0">
      <pane ySplit="4" topLeftCell="A5" activePane="bottomLeft" state="frozen"/>
      <selection activeCell="F8" sqref="F8"/>
      <selection pane="bottomLeft" activeCell="E6" sqref="E6"/>
    </sheetView>
  </sheetViews>
  <sheetFormatPr defaultRowHeight="15.75" x14ac:dyDescent="0.25"/>
  <cols>
    <col min="1" max="1" width="9" customWidth="1"/>
    <col min="2" max="2" width="11.625" customWidth="1"/>
    <col min="3" max="3" width="30.75" customWidth="1"/>
    <col min="4" max="4" width="10" customWidth="1"/>
    <col min="5" max="5" width="21.125" customWidth="1"/>
    <col min="6" max="6" width="36.75" customWidth="1"/>
    <col min="7" max="7" width="36.25" customWidth="1"/>
    <col min="8" max="8" width="20.75" customWidth="1"/>
    <col min="9" max="9" width="14.75" customWidth="1"/>
    <col min="10" max="10" width="14.625" customWidth="1"/>
    <col min="11" max="11" width="205.625" hidden="1" customWidth="1"/>
    <col min="12" max="12" width="11.75" customWidth="1"/>
    <col min="13" max="13" width="21.125" bestFit="1" customWidth="1"/>
    <col min="14" max="14" width="11.75" bestFit="1" customWidth="1"/>
    <col min="15" max="15" width="21.625" bestFit="1" customWidth="1"/>
    <col min="16" max="16" width="38.25" customWidth="1"/>
    <col min="17" max="17" width="33.75" customWidth="1"/>
    <col min="18" max="19" width="19.75" customWidth="1"/>
    <col min="20" max="20" width="13.5" customWidth="1"/>
    <col min="21" max="21" width="15.25" customWidth="1"/>
  </cols>
  <sheetData>
    <row r="1" spans="1:11" ht="21" x14ac:dyDescent="0.35">
      <c r="A1" s="74" t="s">
        <v>226</v>
      </c>
    </row>
    <row r="2" spans="1:11" x14ac:dyDescent="0.25">
      <c r="A2" s="149" t="str">
        <f>название_объекта</f>
        <v>Жилой дом с инженерными сетями и благоустройством территории</v>
      </c>
      <c r="B2" s="149"/>
      <c r="C2" s="149"/>
      <c r="D2" s="149"/>
      <c r="E2" s="149"/>
      <c r="F2" s="149"/>
      <c r="G2" s="149"/>
      <c r="H2" s="149"/>
      <c r="I2" s="149"/>
      <c r="J2" s="149"/>
      <c r="K2" s="1" t="str">
        <f>A2</f>
        <v>Жилой дом с инженерными сетями и благоустройством территории</v>
      </c>
    </row>
    <row r="3" spans="1:11" ht="94.5" x14ac:dyDescent="0.25">
      <c r="A3" s="30" t="s">
        <v>216</v>
      </c>
      <c r="B3" s="30" t="s">
        <v>217</v>
      </c>
      <c r="C3" s="30" t="s">
        <v>218</v>
      </c>
      <c r="D3" s="30" t="s">
        <v>219</v>
      </c>
      <c r="E3" s="30" t="s">
        <v>140</v>
      </c>
      <c r="F3" s="30" t="s">
        <v>220</v>
      </c>
      <c r="G3" s="30" t="s">
        <v>221</v>
      </c>
      <c r="H3" s="30" t="s">
        <v>222</v>
      </c>
      <c r="I3" s="30" t="s">
        <v>223</v>
      </c>
      <c r="J3" s="30" t="s">
        <v>224</v>
      </c>
    </row>
    <row r="4" spans="1:11" x14ac:dyDescent="0.25">
      <c r="A4" s="10" t="s">
        <v>149</v>
      </c>
      <c r="B4" s="10" t="s">
        <v>150</v>
      </c>
      <c r="C4" s="10" t="s">
        <v>151</v>
      </c>
      <c r="D4" s="10" t="s">
        <v>152</v>
      </c>
      <c r="E4" s="10" t="s">
        <v>153</v>
      </c>
      <c r="F4" s="10" t="s">
        <v>154</v>
      </c>
      <c r="G4" s="10" t="s">
        <v>155</v>
      </c>
      <c r="H4" s="10" t="s">
        <v>156</v>
      </c>
      <c r="I4" s="10" t="s">
        <v>157</v>
      </c>
      <c r="J4" s="10" t="s">
        <v>158</v>
      </c>
    </row>
    <row r="5" spans="1:11" ht="31.5" x14ac:dyDescent="0.25">
      <c r="A5" s="45">
        <v>1</v>
      </c>
      <c r="B5" s="60">
        <v>73050</v>
      </c>
      <c r="C5" s="47" t="s">
        <v>1151</v>
      </c>
      <c r="D5" s="45" t="s">
        <v>1256</v>
      </c>
      <c r="E5" s="45" t="s">
        <v>975</v>
      </c>
      <c r="F5" s="47" t="s">
        <v>1231</v>
      </c>
      <c r="G5" s="45" t="s">
        <v>1243</v>
      </c>
      <c r="H5" s="45" t="s">
        <v>1244</v>
      </c>
      <c r="I5" s="45" t="s">
        <v>1244</v>
      </c>
      <c r="J5" s="1"/>
    </row>
    <row r="6" spans="1:11" ht="31.5" x14ac:dyDescent="0.25">
      <c r="A6" s="45">
        <v>2</v>
      </c>
      <c r="B6" s="60">
        <v>73050</v>
      </c>
      <c r="C6" s="47" t="s">
        <v>961</v>
      </c>
      <c r="D6" s="45" t="s">
        <v>131</v>
      </c>
      <c r="E6" s="45" t="s">
        <v>976</v>
      </c>
      <c r="F6" s="47" t="s">
        <v>1250</v>
      </c>
      <c r="G6" s="45" t="s">
        <v>1243</v>
      </c>
      <c r="H6" s="45" t="s">
        <v>1244</v>
      </c>
      <c r="I6" s="45" t="s">
        <v>1244</v>
      </c>
      <c r="J6" s="1"/>
    </row>
    <row r="7" spans="1:11" ht="31.5" x14ac:dyDescent="0.25">
      <c r="A7" s="45">
        <v>3</v>
      </c>
      <c r="B7" s="60">
        <v>73050</v>
      </c>
      <c r="C7" s="47" t="s">
        <v>962</v>
      </c>
      <c r="D7" s="45" t="s">
        <v>131</v>
      </c>
      <c r="E7" s="45" t="s">
        <v>977</v>
      </c>
      <c r="F7" s="47" t="s">
        <v>1251</v>
      </c>
      <c r="G7" s="45" t="s">
        <v>1243</v>
      </c>
      <c r="H7" s="45" t="s">
        <v>1244</v>
      </c>
      <c r="I7" s="45" t="s">
        <v>1244</v>
      </c>
      <c r="J7" s="1"/>
    </row>
    <row r="8" spans="1:11" ht="31.5" x14ac:dyDescent="0.25">
      <c r="A8" s="45">
        <v>4</v>
      </c>
      <c r="B8" s="60">
        <v>73050</v>
      </c>
      <c r="C8" s="47" t="s">
        <v>963</v>
      </c>
      <c r="D8" s="45" t="s">
        <v>131</v>
      </c>
      <c r="E8" s="45" t="s">
        <v>979</v>
      </c>
      <c r="F8" s="47" t="s">
        <v>1252</v>
      </c>
      <c r="G8" s="45" t="s">
        <v>1243</v>
      </c>
      <c r="H8" s="45" t="s">
        <v>1244</v>
      </c>
      <c r="I8" s="45" t="s">
        <v>1244</v>
      </c>
      <c r="J8" s="1"/>
    </row>
    <row r="9" spans="1:11" x14ac:dyDescent="0.25">
      <c r="A9" s="45">
        <v>5</v>
      </c>
      <c r="B9" s="60">
        <v>73050</v>
      </c>
      <c r="C9" s="47" t="s">
        <v>1246</v>
      </c>
      <c r="D9" s="45" t="s">
        <v>131</v>
      </c>
      <c r="E9" s="45"/>
      <c r="F9" s="47" t="s">
        <v>1253</v>
      </c>
      <c r="G9" s="45" t="s">
        <v>1243</v>
      </c>
      <c r="H9" s="45" t="s">
        <v>1244</v>
      </c>
      <c r="I9" s="45" t="s">
        <v>1244</v>
      </c>
      <c r="J9" s="1"/>
    </row>
  </sheetData>
  <mergeCells count="1">
    <mergeCell ref="A2:J2"/>
  </mergeCells>
  <pageMargins left="0.25" right="0.25" top="0.44" bottom="0.51" header="0.3" footer="0.3"/>
  <pageSetup paperSize="9" scale="63" fitToHeight="0" orientation="landscape" horizontalDpi="0" verticalDpi="0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E103"/>
  <sheetViews>
    <sheetView showGridLines="0" zoomScale="90" zoomScaleNormal="90" workbookViewId="0">
      <selection activeCell="C23" sqref="C23"/>
    </sheetView>
  </sheetViews>
  <sheetFormatPr defaultRowHeight="15.75" x14ac:dyDescent="0.25"/>
  <cols>
    <col min="1" max="1" width="9.25" bestFit="1" customWidth="1"/>
    <col min="2" max="2" width="80.625" bestFit="1" customWidth="1"/>
    <col min="3" max="3" width="12.75" bestFit="1" customWidth="1"/>
    <col min="4" max="4" width="16.75" bestFit="1" customWidth="1"/>
    <col min="5" max="5" width="14.625" bestFit="1" customWidth="1"/>
  </cols>
  <sheetData>
    <row r="1" spans="1:5" x14ac:dyDescent="0.25">
      <c r="A1" t="s">
        <v>80</v>
      </c>
      <c r="B1" t="s">
        <v>96</v>
      </c>
      <c r="C1" t="s">
        <v>97</v>
      </c>
      <c r="D1" t="s">
        <v>34</v>
      </c>
      <c r="E1" t="s">
        <v>72</v>
      </c>
    </row>
    <row r="2" spans="1:5" ht="31.5" x14ac:dyDescent="0.25">
      <c r="A2" s="45">
        <v>1</v>
      </c>
      <c r="B2" s="19" t="s">
        <v>1006</v>
      </c>
      <c r="C2" s="19" t="s">
        <v>1068</v>
      </c>
      <c r="D2" s="19" t="s">
        <v>365</v>
      </c>
      <c r="E2" s="45">
        <v>1</v>
      </c>
    </row>
    <row r="3" spans="1:5" ht="31.5" x14ac:dyDescent="0.25">
      <c r="A3" s="45">
        <v>2</v>
      </c>
      <c r="B3" s="19" t="s">
        <v>1007</v>
      </c>
      <c r="C3" s="19" t="s">
        <v>1068</v>
      </c>
      <c r="D3" s="19" t="s">
        <v>365</v>
      </c>
      <c r="E3" s="45">
        <v>1</v>
      </c>
    </row>
    <row r="4" spans="1:5" ht="31.5" x14ac:dyDescent="0.25">
      <c r="A4" s="45">
        <v>3</v>
      </c>
      <c r="B4" s="19" t="s">
        <v>1067</v>
      </c>
      <c r="C4" s="19" t="s">
        <v>1068</v>
      </c>
      <c r="D4" s="19" t="s">
        <v>365</v>
      </c>
      <c r="E4" s="45">
        <v>1</v>
      </c>
    </row>
    <row r="5" spans="1:5" ht="31.5" x14ac:dyDescent="0.25">
      <c r="A5" s="45">
        <v>4</v>
      </c>
      <c r="B5" s="19" t="s">
        <v>1065</v>
      </c>
      <c r="C5" s="19" t="s">
        <v>1109</v>
      </c>
      <c r="D5" s="19" t="s">
        <v>986</v>
      </c>
      <c r="E5" s="45">
        <v>1</v>
      </c>
    </row>
    <row r="6" spans="1:5" ht="31.5" x14ac:dyDescent="0.25">
      <c r="A6" s="45">
        <v>5</v>
      </c>
      <c r="B6" s="19" t="s">
        <v>1008</v>
      </c>
      <c r="C6" s="19" t="s">
        <v>1071</v>
      </c>
      <c r="D6" s="19" t="s">
        <v>951</v>
      </c>
      <c r="E6" s="45">
        <v>1</v>
      </c>
    </row>
    <row r="7" spans="1:5" ht="31.5" x14ac:dyDescent="0.25">
      <c r="A7" s="45">
        <v>6</v>
      </c>
      <c r="B7" s="19" t="s">
        <v>1069</v>
      </c>
      <c r="C7" s="19" t="s">
        <v>1072</v>
      </c>
      <c r="D7" s="19" t="s">
        <v>951</v>
      </c>
      <c r="E7" s="45">
        <v>1</v>
      </c>
    </row>
    <row r="8" spans="1:5" ht="31.5" x14ac:dyDescent="0.25">
      <c r="A8" s="45">
        <v>7</v>
      </c>
      <c r="B8" s="19" t="s">
        <v>1069</v>
      </c>
      <c r="C8" s="19" t="s">
        <v>1073</v>
      </c>
      <c r="D8" s="19" t="s">
        <v>951</v>
      </c>
      <c r="E8" s="45">
        <v>1</v>
      </c>
    </row>
    <row r="9" spans="1:5" ht="31.5" x14ac:dyDescent="0.25">
      <c r="A9" s="45">
        <v>8</v>
      </c>
      <c r="B9" s="19" t="s">
        <v>1069</v>
      </c>
      <c r="C9" s="19" t="s">
        <v>1074</v>
      </c>
      <c r="D9" s="19" t="s">
        <v>951</v>
      </c>
      <c r="E9" s="45">
        <v>1</v>
      </c>
    </row>
    <row r="10" spans="1:5" ht="31.5" x14ac:dyDescent="0.25">
      <c r="A10" s="45">
        <v>9</v>
      </c>
      <c r="B10" s="19" t="s">
        <v>1070</v>
      </c>
      <c r="C10" s="19" t="s">
        <v>1075</v>
      </c>
      <c r="D10" s="19" t="s">
        <v>951</v>
      </c>
      <c r="E10" s="45">
        <v>1</v>
      </c>
    </row>
    <row r="11" spans="1:5" ht="31.5" x14ac:dyDescent="0.25">
      <c r="A11" s="45">
        <v>10</v>
      </c>
      <c r="B11" s="19" t="s">
        <v>1070</v>
      </c>
      <c r="C11" s="19" t="s">
        <v>1076</v>
      </c>
      <c r="D11" s="19" t="s">
        <v>951</v>
      </c>
      <c r="E11" s="45">
        <v>1</v>
      </c>
    </row>
    <row r="12" spans="1:5" ht="47.25" x14ac:dyDescent="0.25">
      <c r="A12" s="45">
        <v>11</v>
      </c>
      <c r="B12" s="19" t="s">
        <v>1009</v>
      </c>
      <c r="C12" s="19" t="s">
        <v>1077</v>
      </c>
      <c r="D12" s="19"/>
      <c r="E12" s="45">
        <v>1</v>
      </c>
    </row>
    <row r="13" spans="1:5" ht="47.25" x14ac:dyDescent="0.25">
      <c r="A13" s="45">
        <v>12</v>
      </c>
      <c r="B13" s="19" t="s">
        <v>1010</v>
      </c>
      <c r="C13" s="19" t="s">
        <v>1077</v>
      </c>
      <c r="D13" s="19" t="s">
        <v>365</v>
      </c>
      <c r="E13" s="45">
        <v>1</v>
      </c>
    </row>
    <row r="14" spans="1:5" ht="31.5" x14ac:dyDescent="0.25">
      <c r="A14" s="45">
        <v>13</v>
      </c>
      <c r="B14" s="19" t="s">
        <v>1011</v>
      </c>
      <c r="C14" s="19" t="s">
        <v>1078</v>
      </c>
      <c r="D14" s="19" t="s">
        <v>365</v>
      </c>
      <c r="E14" s="45">
        <v>1</v>
      </c>
    </row>
    <row r="15" spans="1:5" ht="31.5" x14ac:dyDescent="0.25">
      <c r="A15" s="45">
        <v>14</v>
      </c>
      <c r="B15" s="19" t="s">
        <v>1012</v>
      </c>
      <c r="C15" s="19" t="s">
        <v>1078</v>
      </c>
      <c r="D15" s="19" t="s">
        <v>365</v>
      </c>
      <c r="E15" s="45">
        <v>1</v>
      </c>
    </row>
    <row r="16" spans="1:5" ht="31.5" x14ac:dyDescent="0.25">
      <c r="A16" s="45">
        <v>15</v>
      </c>
      <c r="B16" s="19" t="s">
        <v>1008</v>
      </c>
      <c r="C16" s="19" t="s">
        <v>1079</v>
      </c>
      <c r="D16" s="19" t="s">
        <v>951</v>
      </c>
      <c r="E16" s="45">
        <v>1</v>
      </c>
    </row>
    <row r="17" spans="1:5" ht="47.25" x14ac:dyDescent="0.25">
      <c r="A17" s="45">
        <v>16</v>
      </c>
      <c r="B17" s="19" t="s">
        <v>1013</v>
      </c>
      <c r="C17" s="19" t="s">
        <v>1080</v>
      </c>
      <c r="D17" s="19"/>
      <c r="E17" s="45">
        <v>1</v>
      </c>
    </row>
    <row r="18" spans="1:5" ht="47.25" x14ac:dyDescent="0.25">
      <c r="A18" s="45">
        <v>17</v>
      </c>
      <c r="B18" s="19" t="s">
        <v>1014</v>
      </c>
      <c r="C18" s="19" t="s">
        <v>1080</v>
      </c>
      <c r="D18" s="19" t="s">
        <v>365</v>
      </c>
      <c r="E18" s="45">
        <v>1</v>
      </c>
    </row>
    <row r="19" spans="1:5" ht="31.5" x14ac:dyDescent="0.25">
      <c r="A19" s="45">
        <v>18</v>
      </c>
      <c r="B19" s="19" t="s">
        <v>1015</v>
      </c>
      <c r="C19" s="19" t="s">
        <v>1102</v>
      </c>
      <c r="D19" s="19" t="s">
        <v>365</v>
      </c>
      <c r="E19" s="45">
        <v>1</v>
      </c>
    </row>
    <row r="20" spans="1:5" ht="31.5" x14ac:dyDescent="0.25">
      <c r="A20" s="45">
        <v>19</v>
      </c>
      <c r="B20" s="19" t="s">
        <v>1017</v>
      </c>
      <c r="C20" s="19" t="s">
        <v>1081</v>
      </c>
      <c r="D20" s="19" t="s">
        <v>365</v>
      </c>
      <c r="E20" s="45">
        <v>1</v>
      </c>
    </row>
    <row r="21" spans="1:5" ht="31.5" x14ac:dyDescent="0.25">
      <c r="A21" s="45">
        <v>20</v>
      </c>
      <c r="B21" s="19" t="s">
        <v>1016</v>
      </c>
      <c r="C21" s="19" t="s">
        <v>1110</v>
      </c>
      <c r="D21" s="19" t="s">
        <v>981</v>
      </c>
      <c r="E21" s="45">
        <v>1</v>
      </c>
    </row>
    <row r="22" spans="1:5" ht="31.5" x14ac:dyDescent="0.25">
      <c r="A22" s="45">
        <v>21</v>
      </c>
      <c r="B22" s="19" t="s">
        <v>999</v>
      </c>
      <c r="C22" s="19" t="s">
        <v>1082</v>
      </c>
      <c r="D22" s="19" t="s">
        <v>951</v>
      </c>
      <c r="E22" s="45">
        <v>1</v>
      </c>
    </row>
    <row r="23" spans="1:5" ht="31.5" x14ac:dyDescent="0.25">
      <c r="A23" s="45">
        <v>22</v>
      </c>
      <c r="B23" s="19" t="s">
        <v>1018</v>
      </c>
      <c r="C23" s="19" t="s">
        <v>1083</v>
      </c>
      <c r="D23" s="19" t="s">
        <v>365</v>
      </c>
      <c r="E23" s="45">
        <v>1</v>
      </c>
    </row>
    <row r="24" spans="1:5" ht="31.5" x14ac:dyDescent="0.25">
      <c r="A24" s="45">
        <v>23</v>
      </c>
      <c r="B24" s="19" t="s">
        <v>1019</v>
      </c>
      <c r="C24" s="19" t="s">
        <v>1083</v>
      </c>
      <c r="D24" s="19" t="s">
        <v>365</v>
      </c>
      <c r="E24" s="45">
        <v>1</v>
      </c>
    </row>
    <row r="25" spans="1:5" ht="78.75" x14ac:dyDescent="0.25">
      <c r="A25" s="45">
        <v>24</v>
      </c>
      <c r="B25" s="19" t="s">
        <v>1000</v>
      </c>
      <c r="C25" s="19" t="s">
        <v>1111</v>
      </c>
      <c r="D25" s="19" t="s">
        <v>988</v>
      </c>
      <c r="E25" s="45">
        <v>1</v>
      </c>
    </row>
    <row r="26" spans="1:5" ht="31.5" x14ac:dyDescent="0.25">
      <c r="A26" s="45">
        <v>25</v>
      </c>
      <c r="B26" s="19" t="s">
        <v>994</v>
      </c>
      <c r="C26" s="19" t="s">
        <v>1112</v>
      </c>
      <c r="D26" s="19" t="s">
        <v>986</v>
      </c>
      <c r="E26" s="45">
        <v>1</v>
      </c>
    </row>
    <row r="27" spans="1:5" ht="47.25" x14ac:dyDescent="0.25">
      <c r="A27" s="45">
        <v>26</v>
      </c>
      <c r="B27" s="19" t="s">
        <v>995</v>
      </c>
      <c r="C27" s="19" t="s">
        <v>1113</v>
      </c>
      <c r="D27" s="19" t="s">
        <v>979</v>
      </c>
      <c r="E27" s="45">
        <v>1</v>
      </c>
    </row>
    <row r="28" spans="1:5" ht="47.25" x14ac:dyDescent="0.25">
      <c r="A28" s="45">
        <v>27</v>
      </c>
      <c r="B28" s="19" t="s">
        <v>996</v>
      </c>
      <c r="C28" s="19" t="s">
        <v>1114</v>
      </c>
      <c r="D28" s="19" t="s">
        <v>980</v>
      </c>
      <c r="E28" s="45">
        <v>1</v>
      </c>
    </row>
    <row r="29" spans="1:5" ht="31.5" x14ac:dyDescent="0.25">
      <c r="A29" s="45">
        <v>28</v>
      </c>
      <c r="B29" s="19" t="s">
        <v>1020</v>
      </c>
      <c r="C29" s="19" t="s">
        <v>1084</v>
      </c>
      <c r="D29" s="19" t="s">
        <v>951</v>
      </c>
      <c r="E29" s="45">
        <v>1</v>
      </c>
    </row>
    <row r="30" spans="1:5" ht="31.5" x14ac:dyDescent="0.25">
      <c r="A30" s="45">
        <v>29</v>
      </c>
      <c r="B30" s="19" t="s">
        <v>1021</v>
      </c>
      <c r="C30" s="19" t="s">
        <v>1103</v>
      </c>
      <c r="D30" s="19" t="s">
        <v>365</v>
      </c>
      <c r="E30" s="45">
        <v>1</v>
      </c>
    </row>
    <row r="31" spans="1:5" ht="31.5" x14ac:dyDescent="0.25">
      <c r="A31" s="45">
        <v>30</v>
      </c>
      <c r="B31" s="19" t="s">
        <v>1023</v>
      </c>
      <c r="C31" s="19" t="s">
        <v>1085</v>
      </c>
      <c r="D31" s="19" t="s">
        <v>365</v>
      </c>
      <c r="E31" s="45">
        <v>1</v>
      </c>
    </row>
    <row r="32" spans="1:5" ht="31.5" x14ac:dyDescent="0.25">
      <c r="A32" s="45">
        <v>31</v>
      </c>
      <c r="B32" s="19" t="s">
        <v>1022</v>
      </c>
      <c r="C32" s="19" t="s">
        <v>1115</v>
      </c>
      <c r="D32" s="19" t="s">
        <v>982</v>
      </c>
      <c r="E32" s="45">
        <v>1</v>
      </c>
    </row>
    <row r="33" spans="1:5" ht="31.5" x14ac:dyDescent="0.25">
      <c r="A33" s="45">
        <v>32</v>
      </c>
      <c r="B33" s="19" t="s">
        <v>1022</v>
      </c>
      <c r="C33" s="19" t="s">
        <v>1116</v>
      </c>
      <c r="D33" s="19" t="s">
        <v>982</v>
      </c>
      <c r="E33" s="45">
        <v>1</v>
      </c>
    </row>
    <row r="34" spans="1:5" ht="31.5" x14ac:dyDescent="0.25">
      <c r="A34" s="45">
        <v>33</v>
      </c>
      <c r="B34" s="19" t="s">
        <v>1022</v>
      </c>
      <c r="C34" s="19" t="s">
        <v>1117</v>
      </c>
      <c r="D34" s="19" t="s">
        <v>982</v>
      </c>
      <c r="E34" s="45">
        <v>1</v>
      </c>
    </row>
    <row r="35" spans="1:5" ht="31.5" x14ac:dyDescent="0.25">
      <c r="A35" s="45">
        <v>34</v>
      </c>
      <c r="B35" s="19" t="s">
        <v>1022</v>
      </c>
      <c r="C35" s="19" t="s">
        <v>1118</v>
      </c>
      <c r="D35" s="19" t="s">
        <v>982</v>
      </c>
      <c r="E35" s="45">
        <v>1</v>
      </c>
    </row>
    <row r="36" spans="1:5" ht="31.5" x14ac:dyDescent="0.25">
      <c r="A36" s="45">
        <v>35</v>
      </c>
      <c r="B36" s="19" t="s">
        <v>1022</v>
      </c>
      <c r="C36" s="19" t="s">
        <v>1119</v>
      </c>
      <c r="D36" s="19" t="s">
        <v>982</v>
      </c>
      <c r="E36" s="45">
        <v>1</v>
      </c>
    </row>
    <row r="37" spans="1:5" ht="31.5" x14ac:dyDescent="0.25">
      <c r="A37" s="45">
        <v>36</v>
      </c>
      <c r="B37" s="19" t="s">
        <v>998</v>
      </c>
      <c r="C37" s="19" t="s">
        <v>1086</v>
      </c>
      <c r="D37" s="19" t="s">
        <v>951</v>
      </c>
      <c r="E37" s="45">
        <v>1</v>
      </c>
    </row>
    <row r="38" spans="1:5" ht="31.5" x14ac:dyDescent="0.25">
      <c r="A38" s="45">
        <v>37</v>
      </c>
      <c r="B38" s="19" t="s">
        <v>1024</v>
      </c>
      <c r="C38" s="19" t="s">
        <v>1087</v>
      </c>
      <c r="D38" s="19" t="s">
        <v>365</v>
      </c>
      <c r="E38" s="45">
        <v>1</v>
      </c>
    </row>
    <row r="39" spans="1:5" ht="31.5" x14ac:dyDescent="0.25">
      <c r="A39" s="45">
        <v>38</v>
      </c>
      <c r="B39" s="19" t="s">
        <v>1025</v>
      </c>
      <c r="C39" s="19" t="s">
        <v>1087</v>
      </c>
      <c r="D39" s="19" t="s">
        <v>365</v>
      </c>
      <c r="E39" s="45">
        <v>1</v>
      </c>
    </row>
    <row r="40" spans="1:5" ht="31.5" x14ac:dyDescent="0.25">
      <c r="A40" s="45">
        <v>39</v>
      </c>
      <c r="B40" s="19" t="s">
        <v>993</v>
      </c>
      <c r="C40" s="19" t="s">
        <v>1120</v>
      </c>
      <c r="D40" s="19" t="s">
        <v>985</v>
      </c>
      <c r="E40" s="45">
        <v>1</v>
      </c>
    </row>
    <row r="41" spans="1:5" ht="31.5" x14ac:dyDescent="0.25">
      <c r="A41" s="45">
        <v>40</v>
      </c>
      <c r="B41" s="19" t="s">
        <v>994</v>
      </c>
      <c r="C41" s="19" t="s">
        <v>1112</v>
      </c>
      <c r="D41" s="19" t="s">
        <v>986</v>
      </c>
      <c r="E41" s="45">
        <v>1</v>
      </c>
    </row>
    <row r="42" spans="1:5" ht="47.25" x14ac:dyDescent="0.25">
      <c r="A42" s="45">
        <v>41</v>
      </c>
      <c r="B42" s="19" t="s">
        <v>995</v>
      </c>
      <c r="C42" s="19" t="s">
        <v>1113</v>
      </c>
      <c r="D42" s="19" t="s">
        <v>979</v>
      </c>
      <c r="E42" s="45">
        <v>1</v>
      </c>
    </row>
    <row r="43" spans="1:5" ht="31.5" x14ac:dyDescent="0.25">
      <c r="A43" s="45">
        <v>42</v>
      </c>
      <c r="B43" s="19" t="s">
        <v>997</v>
      </c>
      <c r="C43" s="19" t="s">
        <v>1121</v>
      </c>
      <c r="D43" s="19" t="s">
        <v>984</v>
      </c>
      <c r="E43" s="45">
        <v>1</v>
      </c>
    </row>
    <row r="44" spans="1:5" ht="31.5" x14ac:dyDescent="0.25">
      <c r="A44" s="45">
        <v>43</v>
      </c>
      <c r="B44" s="19" t="s">
        <v>1026</v>
      </c>
      <c r="C44" s="19" t="s">
        <v>1122</v>
      </c>
      <c r="D44" s="19" t="s">
        <v>979</v>
      </c>
      <c r="E44" s="45">
        <v>1</v>
      </c>
    </row>
    <row r="45" spans="1:5" ht="31.5" x14ac:dyDescent="0.25">
      <c r="A45" s="45">
        <v>44</v>
      </c>
      <c r="B45" s="19" t="s">
        <v>1027</v>
      </c>
      <c r="C45" s="19" t="s">
        <v>1104</v>
      </c>
      <c r="D45" s="19" t="s">
        <v>365</v>
      </c>
      <c r="E45" s="45">
        <v>1</v>
      </c>
    </row>
    <row r="46" spans="1:5" ht="31.5" x14ac:dyDescent="0.25">
      <c r="A46" s="45">
        <v>45</v>
      </c>
      <c r="B46" s="19" t="s">
        <v>1028</v>
      </c>
      <c r="C46" s="19" t="s">
        <v>1088</v>
      </c>
      <c r="D46" s="19" t="s">
        <v>365</v>
      </c>
      <c r="E46" s="45">
        <v>1</v>
      </c>
    </row>
    <row r="47" spans="1:5" ht="31.5" x14ac:dyDescent="0.25">
      <c r="A47" s="45">
        <v>46</v>
      </c>
      <c r="B47" s="19" t="s">
        <v>1029</v>
      </c>
      <c r="C47" s="19" t="s">
        <v>1123</v>
      </c>
      <c r="D47" s="19" t="s">
        <v>982</v>
      </c>
      <c r="E47" s="45">
        <v>1</v>
      </c>
    </row>
    <row r="48" spans="1:5" ht="31.5" x14ac:dyDescent="0.25">
      <c r="A48" s="45">
        <v>47</v>
      </c>
      <c r="B48" s="19" t="s">
        <v>1029</v>
      </c>
      <c r="C48" s="19" t="s">
        <v>1124</v>
      </c>
      <c r="D48" s="19" t="s">
        <v>982</v>
      </c>
      <c r="E48" s="45">
        <v>1</v>
      </c>
    </row>
    <row r="49" spans="1:5" ht="31.5" x14ac:dyDescent="0.25">
      <c r="A49" s="45">
        <v>48</v>
      </c>
      <c r="B49" s="19" t="s">
        <v>998</v>
      </c>
      <c r="C49" s="19" t="s">
        <v>1089</v>
      </c>
      <c r="D49" s="19" t="s">
        <v>951</v>
      </c>
      <c r="E49" s="45">
        <v>1</v>
      </c>
    </row>
    <row r="50" spans="1:5" ht="31.5" x14ac:dyDescent="0.25">
      <c r="A50" s="45">
        <v>49</v>
      </c>
      <c r="B50" s="19" t="s">
        <v>1030</v>
      </c>
      <c r="C50" s="19" t="s">
        <v>1066</v>
      </c>
      <c r="D50" s="19" t="s">
        <v>365</v>
      </c>
      <c r="E50" s="45">
        <v>1</v>
      </c>
    </row>
    <row r="51" spans="1:5" ht="31.5" x14ac:dyDescent="0.25">
      <c r="A51" s="45">
        <v>50</v>
      </c>
      <c r="B51" s="19" t="s">
        <v>1032</v>
      </c>
      <c r="C51" s="19" t="s">
        <v>1066</v>
      </c>
      <c r="D51" s="19" t="s">
        <v>365</v>
      </c>
      <c r="E51" s="45">
        <v>1</v>
      </c>
    </row>
    <row r="52" spans="1:5" ht="31.5" x14ac:dyDescent="0.25">
      <c r="A52" s="45">
        <v>51</v>
      </c>
      <c r="B52" s="19" t="s">
        <v>1031</v>
      </c>
      <c r="C52" s="19" t="s">
        <v>1066</v>
      </c>
      <c r="D52" s="19" t="s">
        <v>365</v>
      </c>
      <c r="E52" s="45">
        <v>1</v>
      </c>
    </row>
    <row r="53" spans="1:5" ht="78.75" x14ac:dyDescent="0.25">
      <c r="A53" s="45">
        <v>52</v>
      </c>
      <c r="B53" s="19" t="s">
        <v>1000</v>
      </c>
      <c r="C53" s="19" t="s">
        <v>1111</v>
      </c>
      <c r="D53" s="19" t="s">
        <v>988</v>
      </c>
      <c r="E53" s="45">
        <v>1</v>
      </c>
    </row>
    <row r="54" spans="1:5" ht="31.5" x14ac:dyDescent="0.25">
      <c r="A54" s="45">
        <v>53</v>
      </c>
      <c r="B54" s="19" t="s">
        <v>994</v>
      </c>
      <c r="C54" s="19" t="s">
        <v>1112</v>
      </c>
      <c r="D54" s="19" t="s">
        <v>986</v>
      </c>
      <c r="E54" s="45">
        <v>1</v>
      </c>
    </row>
    <row r="55" spans="1:5" ht="47.25" x14ac:dyDescent="0.25">
      <c r="A55" s="45">
        <v>54</v>
      </c>
      <c r="B55" s="19" t="s">
        <v>995</v>
      </c>
      <c r="C55" s="19" t="s">
        <v>1113</v>
      </c>
      <c r="D55" s="19" t="s">
        <v>979</v>
      </c>
      <c r="E55" s="45">
        <v>1</v>
      </c>
    </row>
    <row r="56" spans="1:5" ht="47.25" x14ac:dyDescent="0.25">
      <c r="A56" s="45">
        <v>55</v>
      </c>
      <c r="B56" s="19" t="s">
        <v>996</v>
      </c>
      <c r="C56" s="19" t="s">
        <v>1114</v>
      </c>
      <c r="D56" s="19" t="s">
        <v>980</v>
      </c>
      <c r="E56" s="45">
        <v>1</v>
      </c>
    </row>
    <row r="57" spans="1:5" ht="31.5" x14ac:dyDescent="0.25">
      <c r="A57" s="45">
        <v>56</v>
      </c>
      <c r="B57" s="19" t="s">
        <v>1033</v>
      </c>
      <c r="C57" s="19" t="s">
        <v>1125</v>
      </c>
      <c r="D57" s="19" t="s">
        <v>983</v>
      </c>
      <c r="E57" s="45">
        <v>1</v>
      </c>
    </row>
    <row r="58" spans="1:5" ht="31.5" x14ac:dyDescent="0.25">
      <c r="A58" s="45">
        <v>57</v>
      </c>
      <c r="B58" s="19" t="s">
        <v>1026</v>
      </c>
      <c r="C58" s="19" t="s">
        <v>1122</v>
      </c>
      <c r="D58" s="19" t="s">
        <v>979</v>
      </c>
      <c r="E58" s="45">
        <v>1</v>
      </c>
    </row>
    <row r="59" spans="1:5" ht="31.5" x14ac:dyDescent="0.25">
      <c r="A59" s="45">
        <v>58</v>
      </c>
      <c r="B59" s="19" t="s">
        <v>1020</v>
      </c>
      <c r="C59" s="19" t="s">
        <v>1084</v>
      </c>
      <c r="D59" s="19" t="s">
        <v>951</v>
      </c>
      <c r="E59" s="45">
        <v>1</v>
      </c>
    </row>
    <row r="60" spans="1:5" ht="31.5" x14ac:dyDescent="0.25">
      <c r="A60" s="45">
        <v>59</v>
      </c>
      <c r="B60" s="19" t="s">
        <v>1034</v>
      </c>
      <c r="C60" s="19" t="s">
        <v>1105</v>
      </c>
      <c r="D60" s="19" t="s">
        <v>365</v>
      </c>
      <c r="E60" s="45">
        <v>1</v>
      </c>
    </row>
    <row r="61" spans="1:5" ht="31.5" x14ac:dyDescent="0.25">
      <c r="A61" s="45">
        <v>60</v>
      </c>
      <c r="B61" s="19" t="s">
        <v>1035</v>
      </c>
      <c r="C61" s="19" t="s">
        <v>1090</v>
      </c>
      <c r="D61" s="19" t="s">
        <v>365</v>
      </c>
      <c r="E61" s="45">
        <v>1</v>
      </c>
    </row>
    <row r="62" spans="1:5" ht="47.25" x14ac:dyDescent="0.25">
      <c r="A62" s="45">
        <v>61</v>
      </c>
      <c r="B62" s="19" t="s">
        <v>1022</v>
      </c>
      <c r="C62" s="19" t="s">
        <v>1126</v>
      </c>
      <c r="D62" s="19" t="s">
        <v>978</v>
      </c>
      <c r="E62" s="45">
        <v>1</v>
      </c>
    </row>
    <row r="63" spans="1:5" ht="47.25" x14ac:dyDescent="0.25">
      <c r="A63" s="45">
        <v>62</v>
      </c>
      <c r="B63" s="19" t="s">
        <v>1022</v>
      </c>
      <c r="C63" s="19" t="s">
        <v>1127</v>
      </c>
      <c r="D63" s="19" t="s">
        <v>978</v>
      </c>
      <c r="E63" s="45">
        <v>1</v>
      </c>
    </row>
    <row r="64" spans="1:5" ht="47.25" x14ac:dyDescent="0.25">
      <c r="A64" s="45">
        <v>63</v>
      </c>
      <c r="B64" s="19" t="s">
        <v>1022</v>
      </c>
      <c r="C64" s="19" t="s">
        <v>1128</v>
      </c>
      <c r="D64" s="19" t="s">
        <v>978</v>
      </c>
      <c r="E64" s="45">
        <v>1</v>
      </c>
    </row>
    <row r="65" spans="1:5" ht="47.25" x14ac:dyDescent="0.25">
      <c r="A65" s="45">
        <v>64</v>
      </c>
      <c r="B65" s="19" t="s">
        <v>1022</v>
      </c>
      <c r="C65" s="19" t="s">
        <v>1129</v>
      </c>
      <c r="D65" s="19" t="s">
        <v>978</v>
      </c>
      <c r="E65" s="45">
        <v>1</v>
      </c>
    </row>
    <row r="66" spans="1:5" ht="47.25" x14ac:dyDescent="0.25">
      <c r="A66" s="45">
        <v>65</v>
      </c>
      <c r="B66" s="19" t="s">
        <v>1022</v>
      </c>
      <c r="C66" s="19" t="s">
        <v>1130</v>
      </c>
      <c r="D66" s="19" t="s">
        <v>978</v>
      </c>
      <c r="E66" s="45">
        <v>1</v>
      </c>
    </row>
    <row r="67" spans="1:5" ht="31.5" x14ac:dyDescent="0.25">
      <c r="A67" s="45">
        <v>66</v>
      </c>
      <c r="B67" s="19" t="s">
        <v>998</v>
      </c>
      <c r="C67" s="19" t="s">
        <v>1091</v>
      </c>
      <c r="D67" s="19" t="s">
        <v>951</v>
      </c>
      <c r="E67" s="45">
        <v>1</v>
      </c>
    </row>
    <row r="68" spans="1:5" ht="31.5" x14ac:dyDescent="0.25">
      <c r="A68" s="45">
        <v>67</v>
      </c>
      <c r="B68" s="19" t="s">
        <v>1036</v>
      </c>
      <c r="C68" s="19" t="s">
        <v>1092</v>
      </c>
      <c r="D68" s="19" t="s">
        <v>365</v>
      </c>
      <c r="E68" s="45">
        <v>1</v>
      </c>
    </row>
    <row r="69" spans="1:5" ht="31.5" x14ac:dyDescent="0.25">
      <c r="A69" s="45">
        <v>68</v>
      </c>
      <c r="B69" s="19" t="s">
        <v>1037</v>
      </c>
      <c r="C69" s="19" t="s">
        <v>1092</v>
      </c>
      <c r="D69" s="19" t="s">
        <v>365</v>
      </c>
      <c r="E69" s="45">
        <v>1</v>
      </c>
    </row>
    <row r="70" spans="1:5" ht="31.5" x14ac:dyDescent="0.25">
      <c r="A70" s="45">
        <v>69</v>
      </c>
      <c r="B70" s="19" t="s">
        <v>993</v>
      </c>
      <c r="C70" s="19" t="s">
        <v>1120</v>
      </c>
      <c r="D70" s="19" t="s">
        <v>985</v>
      </c>
      <c r="E70" s="45">
        <v>1</v>
      </c>
    </row>
    <row r="71" spans="1:5" ht="31.5" x14ac:dyDescent="0.25">
      <c r="A71" s="45">
        <v>70</v>
      </c>
      <c r="B71" s="19" t="s">
        <v>994</v>
      </c>
      <c r="C71" s="19" t="s">
        <v>1112</v>
      </c>
      <c r="D71" s="19" t="s">
        <v>986</v>
      </c>
      <c r="E71" s="45">
        <v>1</v>
      </c>
    </row>
    <row r="72" spans="1:5" ht="47.25" x14ac:dyDescent="0.25">
      <c r="A72" s="45">
        <v>71</v>
      </c>
      <c r="B72" s="19" t="s">
        <v>995</v>
      </c>
      <c r="C72" s="19" t="s">
        <v>1113</v>
      </c>
      <c r="D72" s="19" t="s">
        <v>979</v>
      </c>
      <c r="E72" s="45">
        <v>1</v>
      </c>
    </row>
    <row r="73" spans="1:5" ht="31.5" x14ac:dyDescent="0.25">
      <c r="A73" s="45">
        <v>72</v>
      </c>
      <c r="B73" s="19" t="s">
        <v>997</v>
      </c>
      <c r="C73" s="19" t="s">
        <v>1121</v>
      </c>
      <c r="D73" s="19" t="s">
        <v>984</v>
      </c>
      <c r="E73" s="45">
        <v>1</v>
      </c>
    </row>
    <row r="74" spans="1:5" ht="31.5" x14ac:dyDescent="0.25">
      <c r="A74" s="45">
        <v>73</v>
      </c>
      <c r="B74" s="19" t="s">
        <v>1026</v>
      </c>
      <c r="C74" s="19" t="s">
        <v>1122</v>
      </c>
      <c r="D74" s="19" t="s">
        <v>979</v>
      </c>
      <c r="E74" s="45">
        <v>1</v>
      </c>
    </row>
    <row r="75" spans="1:5" ht="31.5" x14ac:dyDescent="0.25">
      <c r="A75" s="45">
        <v>74</v>
      </c>
      <c r="B75" s="19" t="s">
        <v>1038</v>
      </c>
      <c r="C75" s="19" t="s">
        <v>1106</v>
      </c>
      <c r="D75" s="19" t="s">
        <v>365</v>
      </c>
      <c r="E75" s="45">
        <v>1</v>
      </c>
    </row>
    <row r="76" spans="1:5" ht="31.5" x14ac:dyDescent="0.25">
      <c r="A76" s="45">
        <v>75</v>
      </c>
      <c r="B76" s="19" t="s">
        <v>1039</v>
      </c>
      <c r="C76" s="19" t="s">
        <v>1093</v>
      </c>
      <c r="D76" s="19" t="s">
        <v>365</v>
      </c>
      <c r="E76" s="45">
        <v>1</v>
      </c>
    </row>
    <row r="77" spans="1:5" ht="47.25" x14ac:dyDescent="0.25">
      <c r="A77" s="45">
        <v>76</v>
      </c>
      <c r="B77" s="19" t="s">
        <v>1022</v>
      </c>
      <c r="C77" s="19" t="s">
        <v>1131</v>
      </c>
      <c r="D77" s="19" t="s">
        <v>978</v>
      </c>
      <c r="E77" s="45">
        <v>1</v>
      </c>
    </row>
    <row r="78" spans="1:5" ht="47.25" x14ac:dyDescent="0.25">
      <c r="A78" s="45">
        <v>77</v>
      </c>
      <c r="B78" s="19" t="s">
        <v>1022</v>
      </c>
      <c r="C78" s="19" t="s">
        <v>1132</v>
      </c>
      <c r="D78" s="19" t="s">
        <v>978</v>
      </c>
      <c r="E78" s="45">
        <v>1</v>
      </c>
    </row>
    <row r="79" spans="1:5" ht="31.5" x14ac:dyDescent="0.25">
      <c r="A79" s="45">
        <v>78</v>
      </c>
      <c r="B79" s="19" t="s">
        <v>998</v>
      </c>
      <c r="C79" s="19" t="s">
        <v>1094</v>
      </c>
      <c r="D79" s="19" t="s">
        <v>951</v>
      </c>
      <c r="E79" s="45">
        <v>1</v>
      </c>
    </row>
    <row r="80" spans="1:5" ht="47.25" x14ac:dyDescent="0.25">
      <c r="A80" s="45">
        <v>79</v>
      </c>
      <c r="B80" s="19" t="s">
        <v>1040</v>
      </c>
      <c r="C80" s="19" t="s">
        <v>1107</v>
      </c>
      <c r="D80" s="19" t="s">
        <v>365</v>
      </c>
      <c r="E80" s="45">
        <v>1</v>
      </c>
    </row>
    <row r="81" spans="1:5" ht="47.25" x14ac:dyDescent="0.25">
      <c r="A81" s="45">
        <v>80</v>
      </c>
      <c r="B81" s="19" t="s">
        <v>1041</v>
      </c>
      <c r="C81" s="19" t="s">
        <v>1095</v>
      </c>
      <c r="D81" s="19" t="s">
        <v>365</v>
      </c>
      <c r="E81" s="45">
        <v>1</v>
      </c>
    </row>
    <row r="82" spans="1:5" ht="31.5" x14ac:dyDescent="0.25">
      <c r="A82" s="45">
        <v>81</v>
      </c>
      <c r="B82" s="19" t="s">
        <v>1042</v>
      </c>
      <c r="C82" s="19" t="s">
        <v>1096</v>
      </c>
      <c r="D82" s="19" t="s">
        <v>365</v>
      </c>
      <c r="E82" s="45">
        <v>1</v>
      </c>
    </row>
    <row r="83" spans="1:5" ht="31.5" x14ac:dyDescent="0.25">
      <c r="A83" s="45">
        <v>82</v>
      </c>
      <c r="B83" s="19" t="s">
        <v>1043</v>
      </c>
      <c r="C83" s="19" t="s">
        <v>1096</v>
      </c>
      <c r="D83" s="19" t="s">
        <v>365</v>
      </c>
      <c r="E83" s="45">
        <v>1</v>
      </c>
    </row>
    <row r="84" spans="1:5" ht="63" x14ac:dyDescent="0.25">
      <c r="A84" s="45">
        <v>83</v>
      </c>
      <c r="B84" s="19" t="s">
        <v>1044</v>
      </c>
      <c r="C84" s="19" t="s">
        <v>1133</v>
      </c>
      <c r="D84" s="19" t="s">
        <v>991</v>
      </c>
      <c r="E84" s="45">
        <v>1</v>
      </c>
    </row>
    <row r="85" spans="1:5" ht="31.5" x14ac:dyDescent="0.25">
      <c r="A85" s="45">
        <v>84</v>
      </c>
      <c r="B85" s="19" t="s">
        <v>1045</v>
      </c>
      <c r="C85" s="19" t="s">
        <v>1097</v>
      </c>
      <c r="D85" s="19" t="s">
        <v>365</v>
      </c>
      <c r="E85" s="45">
        <v>1</v>
      </c>
    </row>
    <row r="86" spans="1:5" ht="31.5" x14ac:dyDescent="0.25">
      <c r="A86" s="45">
        <v>85</v>
      </c>
      <c r="B86" s="19" t="s">
        <v>1046</v>
      </c>
      <c r="C86" s="19" t="s">
        <v>1097</v>
      </c>
      <c r="D86" s="19" t="s">
        <v>365</v>
      </c>
      <c r="E86" s="45">
        <v>1</v>
      </c>
    </row>
    <row r="87" spans="1:5" ht="63" x14ac:dyDescent="0.25">
      <c r="A87" s="45">
        <v>86</v>
      </c>
      <c r="B87" s="19" t="s">
        <v>1047</v>
      </c>
      <c r="C87" s="19" t="s">
        <v>1134</v>
      </c>
      <c r="D87" s="19" t="s">
        <v>992</v>
      </c>
      <c r="E87" s="45">
        <v>4</v>
      </c>
    </row>
    <row r="88" spans="1:5" ht="31.5" x14ac:dyDescent="0.25">
      <c r="A88" s="45">
        <v>87</v>
      </c>
      <c r="B88" s="19" t="s">
        <v>1048</v>
      </c>
      <c r="C88" s="19" t="s">
        <v>1098</v>
      </c>
      <c r="D88" s="19" t="s">
        <v>365</v>
      </c>
      <c r="E88" s="45">
        <v>1</v>
      </c>
    </row>
    <row r="89" spans="1:5" ht="31.5" x14ac:dyDescent="0.25">
      <c r="A89" s="45">
        <v>88</v>
      </c>
      <c r="B89" s="19" t="s">
        <v>1049</v>
      </c>
      <c r="C89" s="19" t="s">
        <v>1098</v>
      </c>
      <c r="D89" s="19" t="s">
        <v>365</v>
      </c>
      <c r="E89" s="45">
        <v>1</v>
      </c>
    </row>
    <row r="90" spans="1:5" ht="63" x14ac:dyDescent="0.25">
      <c r="A90" s="45">
        <v>89</v>
      </c>
      <c r="B90" s="19" t="s">
        <v>1050</v>
      </c>
      <c r="C90" s="19" t="s">
        <v>1135</v>
      </c>
      <c r="D90" s="19"/>
      <c r="E90" s="45">
        <v>1</v>
      </c>
    </row>
    <row r="91" spans="1:5" ht="47.25" x14ac:dyDescent="0.25">
      <c r="A91" s="45">
        <v>90</v>
      </c>
      <c r="B91" s="19" t="s">
        <v>1051</v>
      </c>
      <c r="C91" s="19" t="s">
        <v>1136</v>
      </c>
      <c r="D91" s="19" t="s">
        <v>989</v>
      </c>
      <c r="E91" s="45">
        <v>1</v>
      </c>
    </row>
    <row r="92" spans="1:5" ht="31.5" x14ac:dyDescent="0.25">
      <c r="A92" s="45">
        <v>91</v>
      </c>
      <c r="B92" s="19" t="s">
        <v>1052</v>
      </c>
      <c r="C92" s="19" t="s">
        <v>1137</v>
      </c>
      <c r="D92" s="19" t="s">
        <v>990</v>
      </c>
      <c r="E92" s="45">
        <v>1</v>
      </c>
    </row>
    <row r="93" spans="1:5" ht="31.5" x14ac:dyDescent="0.25">
      <c r="A93" s="45">
        <v>92</v>
      </c>
      <c r="B93" s="19" t="s">
        <v>1053</v>
      </c>
      <c r="C93" s="19" t="s">
        <v>1099</v>
      </c>
      <c r="D93" s="19" t="s">
        <v>365</v>
      </c>
      <c r="E93" s="45">
        <v>1</v>
      </c>
    </row>
    <row r="94" spans="1:5" ht="31.5" x14ac:dyDescent="0.25">
      <c r="A94" s="45">
        <v>93</v>
      </c>
      <c r="B94" s="19" t="s">
        <v>1054</v>
      </c>
      <c r="C94" s="19" t="s">
        <v>1099</v>
      </c>
      <c r="D94" s="19" t="s">
        <v>365</v>
      </c>
      <c r="E94" s="45">
        <v>1</v>
      </c>
    </row>
    <row r="95" spans="1:5" ht="31.5" x14ac:dyDescent="0.25">
      <c r="A95" s="45">
        <v>94</v>
      </c>
      <c r="B95" s="19" t="s">
        <v>1055</v>
      </c>
      <c r="C95" s="19" t="s">
        <v>1138</v>
      </c>
      <c r="D95" s="19" t="s">
        <v>1002</v>
      </c>
      <c r="E95" s="45">
        <v>1</v>
      </c>
    </row>
    <row r="96" spans="1:5" ht="31.5" x14ac:dyDescent="0.25">
      <c r="A96" s="45">
        <v>95</v>
      </c>
      <c r="B96" s="19" t="s">
        <v>1056</v>
      </c>
      <c r="C96" s="19" t="s">
        <v>1139</v>
      </c>
      <c r="D96" s="19" t="s">
        <v>1003</v>
      </c>
      <c r="E96" s="45">
        <v>1</v>
      </c>
    </row>
    <row r="97" spans="1:5" ht="31.5" x14ac:dyDescent="0.25">
      <c r="A97" s="45">
        <v>96</v>
      </c>
      <c r="B97" s="19" t="s">
        <v>1057</v>
      </c>
      <c r="C97" s="19" t="s">
        <v>1100</v>
      </c>
      <c r="D97" s="19" t="s">
        <v>365</v>
      </c>
      <c r="E97" s="45">
        <v>1</v>
      </c>
    </row>
    <row r="98" spans="1:5" ht="31.5" x14ac:dyDescent="0.25">
      <c r="A98" s="45">
        <v>97</v>
      </c>
      <c r="B98" s="19" t="s">
        <v>1058</v>
      </c>
      <c r="C98" s="19" t="s">
        <v>1100</v>
      </c>
      <c r="D98" s="19" t="s">
        <v>365</v>
      </c>
      <c r="E98" s="45">
        <v>1</v>
      </c>
    </row>
    <row r="99" spans="1:5" x14ac:dyDescent="0.25">
      <c r="A99" s="45">
        <v>98</v>
      </c>
      <c r="B99" s="19" t="s">
        <v>1059</v>
      </c>
      <c r="C99" s="19" t="s">
        <v>1140</v>
      </c>
      <c r="D99" s="19" t="s">
        <v>987</v>
      </c>
      <c r="E99" s="45">
        <v>1</v>
      </c>
    </row>
    <row r="100" spans="1:5" ht="31.5" x14ac:dyDescent="0.25">
      <c r="A100" s="45">
        <v>99</v>
      </c>
      <c r="B100" s="19" t="s">
        <v>1060</v>
      </c>
      <c r="C100" s="19" t="s">
        <v>1101</v>
      </c>
      <c r="D100" s="19" t="s">
        <v>365</v>
      </c>
      <c r="E100" s="45">
        <v>1</v>
      </c>
    </row>
    <row r="101" spans="1:5" ht="31.5" x14ac:dyDescent="0.25">
      <c r="A101" s="45">
        <v>100</v>
      </c>
      <c r="B101" s="19" t="s">
        <v>1061</v>
      </c>
      <c r="C101" s="19" t="s">
        <v>1101</v>
      </c>
      <c r="D101" s="19" t="s">
        <v>365</v>
      </c>
      <c r="E101" s="45">
        <v>1</v>
      </c>
    </row>
    <row r="102" spans="1:5" ht="31.5" x14ac:dyDescent="0.25">
      <c r="A102" s="45">
        <v>101</v>
      </c>
      <c r="B102" s="19" t="s">
        <v>1062</v>
      </c>
      <c r="C102" s="19" t="s">
        <v>1108</v>
      </c>
      <c r="D102" s="19"/>
      <c r="E102" s="45">
        <v>1</v>
      </c>
    </row>
    <row r="103" spans="1:5" x14ac:dyDescent="0.25">
      <c r="A103" s="45">
        <v>102</v>
      </c>
      <c r="B103" s="19" t="s">
        <v>1063</v>
      </c>
      <c r="C103" s="19" t="s">
        <v>1064</v>
      </c>
      <c r="D103" s="19" t="s">
        <v>365</v>
      </c>
      <c r="E103" s="45">
        <v>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E90"/>
  <sheetViews>
    <sheetView showGridLines="0" workbookViewId="0">
      <selection activeCell="C23" sqref="C23"/>
    </sheetView>
  </sheetViews>
  <sheetFormatPr defaultRowHeight="15.75" x14ac:dyDescent="0.25"/>
  <cols>
    <col min="1" max="1" width="9.125" bestFit="1" customWidth="1"/>
    <col min="2" max="2" width="81" bestFit="1" customWidth="1"/>
    <col min="3" max="3" width="42.375" bestFit="1" customWidth="1"/>
    <col min="4" max="4" width="52.75" bestFit="1" customWidth="1"/>
    <col min="5" max="5" width="14.25" bestFit="1" customWidth="1"/>
  </cols>
  <sheetData>
    <row r="1" spans="1:5" x14ac:dyDescent="0.25">
      <c r="A1" t="s">
        <v>80</v>
      </c>
      <c r="B1" t="s">
        <v>96</v>
      </c>
      <c r="C1" t="s">
        <v>97</v>
      </c>
      <c r="D1" t="s">
        <v>34</v>
      </c>
      <c r="E1" t="s">
        <v>72</v>
      </c>
    </row>
    <row r="2" spans="1:5" ht="31.5" x14ac:dyDescent="0.25">
      <c r="A2" s="45">
        <v>1</v>
      </c>
      <c r="B2" s="19" t="s">
        <v>1006</v>
      </c>
      <c r="C2" s="19" t="s">
        <v>1068</v>
      </c>
      <c r="D2" s="19" t="s">
        <v>365</v>
      </c>
      <c r="E2" s="45">
        <v>1</v>
      </c>
    </row>
    <row r="3" spans="1:5" x14ac:dyDescent="0.25">
      <c r="A3" s="45">
        <v>2</v>
      </c>
      <c r="B3" s="19" t="s">
        <v>1009</v>
      </c>
      <c r="C3" s="19" t="s">
        <v>1077</v>
      </c>
      <c r="D3" s="19"/>
      <c r="E3" s="45">
        <v>1</v>
      </c>
    </row>
    <row r="4" spans="1:5" ht="31.5" x14ac:dyDescent="0.25">
      <c r="A4" s="45">
        <v>3</v>
      </c>
      <c r="B4" s="19" t="s">
        <v>1011</v>
      </c>
      <c r="C4" s="19" t="s">
        <v>1078</v>
      </c>
      <c r="D4" s="19" t="s">
        <v>365</v>
      </c>
      <c r="E4" s="45">
        <v>1</v>
      </c>
    </row>
    <row r="5" spans="1:5" x14ac:dyDescent="0.25">
      <c r="A5" s="45">
        <v>4</v>
      </c>
      <c r="B5" s="19" t="s">
        <v>1013</v>
      </c>
      <c r="C5" s="19" t="s">
        <v>1080</v>
      </c>
      <c r="D5" s="19"/>
      <c r="E5" s="45">
        <v>1</v>
      </c>
    </row>
    <row r="6" spans="1:5" ht="31.5" x14ac:dyDescent="0.25">
      <c r="A6" s="45">
        <v>5</v>
      </c>
      <c r="B6" s="19" t="s">
        <v>1015</v>
      </c>
      <c r="C6" s="19" t="s">
        <v>1102</v>
      </c>
      <c r="D6" s="19" t="s">
        <v>365</v>
      </c>
      <c r="E6" s="45">
        <v>1</v>
      </c>
    </row>
    <row r="7" spans="1:5" ht="31.5" x14ac:dyDescent="0.25">
      <c r="A7" s="45">
        <v>6</v>
      </c>
      <c r="B7" s="19" t="s">
        <v>1018</v>
      </c>
      <c r="C7" s="19" t="s">
        <v>1083</v>
      </c>
      <c r="D7" s="19" t="s">
        <v>365</v>
      </c>
      <c r="E7" s="45">
        <v>1</v>
      </c>
    </row>
    <row r="8" spans="1:5" ht="31.5" x14ac:dyDescent="0.25">
      <c r="A8" s="45">
        <v>7</v>
      </c>
      <c r="B8" s="19" t="s">
        <v>1021</v>
      </c>
      <c r="C8" s="19" t="s">
        <v>1103</v>
      </c>
      <c r="D8" s="19" t="s">
        <v>365</v>
      </c>
      <c r="E8" s="45">
        <v>1</v>
      </c>
    </row>
    <row r="9" spans="1:5" ht="31.5" x14ac:dyDescent="0.25">
      <c r="A9" s="45">
        <v>8</v>
      </c>
      <c r="B9" s="19" t="s">
        <v>1024</v>
      </c>
      <c r="C9" s="19" t="s">
        <v>1087</v>
      </c>
      <c r="D9" s="19" t="s">
        <v>365</v>
      </c>
      <c r="E9" s="45">
        <v>1</v>
      </c>
    </row>
    <row r="10" spans="1:5" ht="31.5" x14ac:dyDescent="0.25">
      <c r="A10" s="45">
        <v>9</v>
      </c>
      <c r="B10" s="19" t="s">
        <v>1027</v>
      </c>
      <c r="C10" s="19" t="s">
        <v>1104</v>
      </c>
      <c r="D10" s="19" t="s">
        <v>365</v>
      </c>
      <c r="E10" s="45">
        <v>1</v>
      </c>
    </row>
    <row r="11" spans="1:5" ht="31.5" x14ac:dyDescent="0.25">
      <c r="A11" s="45">
        <v>10</v>
      </c>
      <c r="B11" s="19" t="s">
        <v>1030</v>
      </c>
      <c r="C11" s="19" t="s">
        <v>1066</v>
      </c>
      <c r="D11" s="19" t="s">
        <v>365</v>
      </c>
      <c r="E11" s="45">
        <v>1</v>
      </c>
    </row>
    <row r="12" spans="1:5" ht="31.5" x14ac:dyDescent="0.25">
      <c r="A12" s="45">
        <v>11</v>
      </c>
      <c r="B12" s="19" t="s">
        <v>1034</v>
      </c>
      <c r="C12" s="19" t="s">
        <v>1105</v>
      </c>
      <c r="D12" s="19" t="s">
        <v>365</v>
      </c>
      <c r="E12" s="45">
        <v>1</v>
      </c>
    </row>
    <row r="13" spans="1:5" ht="31.5" x14ac:dyDescent="0.25">
      <c r="A13" s="45">
        <v>12</v>
      </c>
      <c r="B13" s="19" t="s">
        <v>1036</v>
      </c>
      <c r="C13" s="19" t="s">
        <v>1092</v>
      </c>
      <c r="D13" s="19" t="s">
        <v>365</v>
      </c>
      <c r="E13" s="45">
        <v>1</v>
      </c>
    </row>
    <row r="14" spans="1:5" ht="31.5" x14ac:dyDescent="0.25">
      <c r="A14" s="45">
        <v>13</v>
      </c>
      <c r="B14" s="19" t="s">
        <v>1038</v>
      </c>
      <c r="C14" s="19" t="s">
        <v>1106</v>
      </c>
      <c r="D14" s="19" t="s">
        <v>365</v>
      </c>
      <c r="E14" s="45">
        <v>1</v>
      </c>
    </row>
    <row r="15" spans="1:5" ht="31.5" x14ac:dyDescent="0.25">
      <c r="A15" s="45">
        <v>14</v>
      </c>
      <c r="B15" s="19" t="s">
        <v>1040</v>
      </c>
      <c r="C15" s="19" t="s">
        <v>1107</v>
      </c>
      <c r="D15" s="19" t="s">
        <v>365</v>
      </c>
      <c r="E15" s="45">
        <v>1</v>
      </c>
    </row>
    <row r="16" spans="1:5" ht="31.5" x14ac:dyDescent="0.25">
      <c r="A16" s="45">
        <v>15</v>
      </c>
      <c r="B16" s="19" t="s">
        <v>1042</v>
      </c>
      <c r="C16" s="19" t="s">
        <v>1096</v>
      </c>
      <c r="D16" s="19" t="s">
        <v>365</v>
      </c>
      <c r="E16" s="45">
        <v>1</v>
      </c>
    </row>
    <row r="17" spans="1:5" ht="31.5" x14ac:dyDescent="0.25">
      <c r="A17" s="45">
        <v>16</v>
      </c>
      <c r="B17" s="19" t="s">
        <v>1045</v>
      </c>
      <c r="C17" s="19" t="s">
        <v>1097</v>
      </c>
      <c r="D17" s="19" t="s">
        <v>365</v>
      </c>
      <c r="E17" s="45">
        <v>1</v>
      </c>
    </row>
    <row r="18" spans="1:5" ht="31.5" x14ac:dyDescent="0.25">
      <c r="A18" s="45">
        <v>17</v>
      </c>
      <c r="B18" s="19" t="s">
        <v>1048</v>
      </c>
      <c r="C18" s="19" t="s">
        <v>1098</v>
      </c>
      <c r="D18" s="19" t="s">
        <v>365</v>
      </c>
      <c r="E18" s="45">
        <v>1</v>
      </c>
    </row>
    <row r="19" spans="1:5" ht="31.5" x14ac:dyDescent="0.25">
      <c r="A19" s="45">
        <v>18</v>
      </c>
      <c r="B19" s="19" t="s">
        <v>1053</v>
      </c>
      <c r="C19" s="19" t="s">
        <v>1099</v>
      </c>
      <c r="D19" s="19" t="s">
        <v>365</v>
      </c>
      <c r="E19" s="45">
        <v>1</v>
      </c>
    </row>
    <row r="20" spans="1:5" ht="31.5" x14ac:dyDescent="0.25">
      <c r="A20" s="45">
        <v>19</v>
      </c>
      <c r="B20" s="19" t="s">
        <v>1057</v>
      </c>
      <c r="C20" s="19" t="s">
        <v>1100</v>
      </c>
      <c r="D20" s="19" t="s">
        <v>365</v>
      </c>
      <c r="E20" s="45">
        <v>1</v>
      </c>
    </row>
    <row r="21" spans="1:5" ht="31.5" x14ac:dyDescent="0.25">
      <c r="A21" s="45">
        <v>20</v>
      </c>
      <c r="B21" s="19" t="s">
        <v>1060</v>
      </c>
      <c r="C21" s="19" t="s">
        <v>1101</v>
      </c>
      <c r="D21" s="19" t="s">
        <v>365</v>
      </c>
      <c r="E21" s="45">
        <v>1</v>
      </c>
    </row>
    <row r="22" spans="1:5" x14ac:dyDescent="0.25">
      <c r="A22" s="45">
        <v>21</v>
      </c>
      <c r="B22" s="19" t="s">
        <v>1062</v>
      </c>
      <c r="C22" s="19" t="s">
        <v>1108</v>
      </c>
      <c r="D22" s="19"/>
      <c r="E22" s="45">
        <v>1</v>
      </c>
    </row>
    <row r="23" spans="1:5" ht="31.5" x14ac:dyDescent="0.25">
      <c r="A23" s="45">
        <v>22</v>
      </c>
      <c r="B23" s="19" t="s">
        <v>1007</v>
      </c>
      <c r="C23" s="19" t="s">
        <v>1068</v>
      </c>
      <c r="D23" s="19" t="s">
        <v>365</v>
      </c>
      <c r="E23" s="45">
        <v>1</v>
      </c>
    </row>
    <row r="24" spans="1:5" x14ac:dyDescent="0.25">
      <c r="A24" s="45">
        <v>23</v>
      </c>
      <c r="B24" s="19" t="s">
        <v>1010</v>
      </c>
      <c r="C24" s="19" t="s">
        <v>1077</v>
      </c>
      <c r="D24" s="19" t="s">
        <v>365</v>
      </c>
      <c r="E24" s="45">
        <v>1</v>
      </c>
    </row>
    <row r="25" spans="1:5" ht="31.5" x14ac:dyDescent="0.25">
      <c r="A25" s="45">
        <v>24</v>
      </c>
      <c r="B25" s="19" t="s">
        <v>1012</v>
      </c>
      <c r="C25" s="19" t="s">
        <v>1078</v>
      </c>
      <c r="D25" s="19" t="s">
        <v>365</v>
      </c>
      <c r="E25" s="45">
        <v>1</v>
      </c>
    </row>
    <row r="26" spans="1:5" x14ac:dyDescent="0.25">
      <c r="A26" s="45">
        <v>25</v>
      </c>
      <c r="B26" s="19" t="s">
        <v>1014</v>
      </c>
      <c r="C26" s="19" t="s">
        <v>1080</v>
      </c>
      <c r="D26" s="19" t="s">
        <v>365</v>
      </c>
      <c r="E26" s="45">
        <v>1</v>
      </c>
    </row>
    <row r="27" spans="1:5" ht="31.5" x14ac:dyDescent="0.25">
      <c r="A27" s="45">
        <v>26</v>
      </c>
      <c r="B27" s="19" t="s">
        <v>1017</v>
      </c>
      <c r="C27" s="19" t="s">
        <v>1081</v>
      </c>
      <c r="D27" s="19" t="s">
        <v>365</v>
      </c>
      <c r="E27" s="45">
        <v>1</v>
      </c>
    </row>
    <row r="28" spans="1:5" ht="31.5" x14ac:dyDescent="0.25">
      <c r="A28" s="45">
        <v>27</v>
      </c>
      <c r="B28" s="19" t="s">
        <v>1019</v>
      </c>
      <c r="C28" s="19" t="s">
        <v>1083</v>
      </c>
      <c r="D28" s="19" t="s">
        <v>365</v>
      </c>
      <c r="E28" s="45">
        <v>1</v>
      </c>
    </row>
    <row r="29" spans="1:5" ht="31.5" x14ac:dyDescent="0.25">
      <c r="A29" s="45">
        <v>28</v>
      </c>
      <c r="B29" s="19" t="s">
        <v>1023</v>
      </c>
      <c r="C29" s="19" t="s">
        <v>1085</v>
      </c>
      <c r="D29" s="19" t="s">
        <v>365</v>
      </c>
      <c r="E29" s="45">
        <v>1</v>
      </c>
    </row>
    <row r="30" spans="1:5" ht="31.5" x14ac:dyDescent="0.25">
      <c r="A30" s="45">
        <v>29</v>
      </c>
      <c r="B30" s="19" t="s">
        <v>1025</v>
      </c>
      <c r="C30" s="19" t="s">
        <v>1087</v>
      </c>
      <c r="D30" s="19" t="s">
        <v>365</v>
      </c>
      <c r="E30" s="45">
        <v>1</v>
      </c>
    </row>
    <row r="31" spans="1:5" ht="31.5" x14ac:dyDescent="0.25">
      <c r="A31" s="45">
        <v>30</v>
      </c>
      <c r="B31" s="19" t="s">
        <v>1028</v>
      </c>
      <c r="C31" s="19" t="s">
        <v>1088</v>
      </c>
      <c r="D31" s="19" t="s">
        <v>365</v>
      </c>
      <c r="E31" s="45">
        <v>1</v>
      </c>
    </row>
    <row r="32" spans="1:5" ht="31.5" x14ac:dyDescent="0.25">
      <c r="A32" s="45">
        <v>31</v>
      </c>
      <c r="B32" s="19" t="s">
        <v>1032</v>
      </c>
      <c r="C32" s="19" t="s">
        <v>1066</v>
      </c>
      <c r="D32" s="19" t="s">
        <v>365</v>
      </c>
      <c r="E32" s="45">
        <v>1</v>
      </c>
    </row>
    <row r="33" spans="1:5" ht="31.5" x14ac:dyDescent="0.25">
      <c r="A33" s="45">
        <v>32</v>
      </c>
      <c r="B33" s="19" t="s">
        <v>1035</v>
      </c>
      <c r="C33" s="19" t="s">
        <v>1090</v>
      </c>
      <c r="D33" s="19" t="s">
        <v>365</v>
      </c>
      <c r="E33" s="45">
        <v>1</v>
      </c>
    </row>
    <row r="34" spans="1:5" ht="31.5" x14ac:dyDescent="0.25">
      <c r="A34" s="45">
        <v>33</v>
      </c>
      <c r="B34" s="19" t="s">
        <v>1037</v>
      </c>
      <c r="C34" s="19" t="s">
        <v>1092</v>
      </c>
      <c r="D34" s="19" t="s">
        <v>365</v>
      </c>
      <c r="E34" s="45">
        <v>1</v>
      </c>
    </row>
    <row r="35" spans="1:5" ht="31.5" x14ac:dyDescent="0.25">
      <c r="A35" s="45">
        <v>34</v>
      </c>
      <c r="B35" s="19" t="s">
        <v>1039</v>
      </c>
      <c r="C35" s="19" t="s">
        <v>1093</v>
      </c>
      <c r="D35" s="19" t="s">
        <v>365</v>
      </c>
      <c r="E35" s="45">
        <v>1</v>
      </c>
    </row>
    <row r="36" spans="1:5" ht="31.5" x14ac:dyDescent="0.25">
      <c r="A36" s="45">
        <v>35</v>
      </c>
      <c r="B36" s="19" t="s">
        <v>1041</v>
      </c>
      <c r="C36" s="19" t="s">
        <v>1095</v>
      </c>
      <c r="D36" s="19" t="s">
        <v>365</v>
      </c>
      <c r="E36" s="45">
        <v>1</v>
      </c>
    </row>
    <row r="37" spans="1:5" ht="31.5" x14ac:dyDescent="0.25">
      <c r="A37" s="45">
        <v>36</v>
      </c>
      <c r="B37" s="19" t="s">
        <v>1043</v>
      </c>
      <c r="C37" s="19" t="s">
        <v>1096</v>
      </c>
      <c r="D37" s="19" t="s">
        <v>365</v>
      </c>
      <c r="E37" s="45">
        <v>1</v>
      </c>
    </row>
    <row r="38" spans="1:5" ht="31.5" x14ac:dyDescent="0.25">
      <c r="A38" s="45">
        <v>37</v>
      </c>
      <c r="B38" s="19" t="s">
        <v>1046</v>
      </c>
      <c r="C38" s="19" t="s">
        <v>1097</v>
      </c>
      <c r="D38" s="19" t="s">
        <v>365</v>
      </c>
      <c r="E38" s="45">
        <v>1</v>
      </c>
    </row>
    <row r="39" spans="1:5" ht="31.5" x14ac:dyDescent="0.25">
      <c r="A39" s="45">
        <v>38</v>
      </c>
      <c r="B39" s="19" t="s">
        <v>1049</v>
      </c>
      <c r="C39" s="19" t="s">
        <v>1098</v>
      </c>
      <c r="D39" s="19" t="s">
        <v>365</v>
      </c>
      <c r="E39" s="45">
        <v>1</v>
      </c>
    </row>
    <row r="40" spans="1:5" ht="31.5" x14ac:dyDescent="0.25">
      <c r="A40" s="45">
        <v>39</v>
      </c>
      <c r="B40" s="19" t="s">
        <v>1054</v>
      </c>
      <c r="C40" s="19" t="s">
        <v>1099</v>
      </c>
      <c r="D40" s="19" t="s">
        <v>365</v>
      </c>
      <c r="E40" s="45">
        <v>1</v>
      </c>
    </row>
    <row r="41" spans="1:5" x14ac:dyDescent="0.25">
      <c r="A41" s="45">
        <v>40</v>
      </c>
      <c r="B41" s="19" t="s">
        <v>1058</v>
      </c>
      <c r="C41" s="19" t="s">
        <v>1100</v>
      </c>
      <c r="D41" s="19" t="s">
        <v>365</v>
      </c>
      <c r="E41" s="45">
        <v>1</v>
      </c>
    </row>
    <row r="42" spans="1:5" x14ac:dyDescent="0.25">
      <c r="A42" s="45">
        <v>41</v>
      </c>
      <c r="B42" s="19" t="s">
        <v>1061</v>
      </c>
      <c r="C42" s="19" t="s">
        <v>1101</v>
      </c>
      <c r="D42" s="19" t="s">
        <v>365</v>
      </c>
      <c r="E42" s="45">
        <v>1</v>
      </c>
    </row>
    <row r="43" spans="1:5" x14ac:dyDescent="0.25">
      <c r="A43" s="45">
        <v>42</v>
      </c>
      <c r="B43" s="19" t="s">
        <v>1063</v>
      </c>
      <c r="C43" s="19" t="s">
        <v>1064</v>
      </c>
      <c r="D43" s="19" t="s">
        <v>365</v>
      </c>
      <c r="E43" s="45">
        <v>0</v>
      </c>
    </row>
    <row r="44" spans="1:5" x14ac:dyDescent="0.25">
      <c r="A44" s="45">
        <v>43</v>
      </c>
      <c r="B44" s="19" t="s">
        <v>1031</v>
      </c>
      <c r="C44" s="19" t="s">
        <v>1066</v>
      </c>
      <c r="D44" s="19" t="s">
        <v>365</v>
      </c>
      <c r="E44" s="45">
        <v>1</v>
      </c>
    </row>
    <row r="45" spans="1:5" ht="31.5" x14ac:dyDescent="0.25">
      <c r="A45" s="45">
        <v>44</v>
      </c>
      <c r="B45" s="19" t="s">
        <v>1067</v>
      </c>
      <c r="C45" s="19" t="s">
        <v>1068</v>
      </c>
      <c r="D45" s="19" t="s">
        <v>365</v>
      </c>
      <c r="E45" s="45">
        <v>1</v>
      </c>
    </row>
    <row r="46" spans="1:5" x14ac:dyDescent="0.25">
      <c r="A46" s="45">
        <v>45</v>
      </c>
      <c r="B46" s="19" t="s">
        <v>1065</v>
      </c>
      <c r="C46" s="19" t="s">
        <v>1109</v>
      </c>
      <c r="D46" s="19" t="s">
        <v>986</v>
      </c>
      <c r="E46" s="45">
        <v>1</v>
      </c>
    </row>
    <row r="47" spans="1:5" x14ac:dyDescent="0.25">
      <c r="A47" s="45">
        <v>46</v>
      </c>
      <c r="B47" s="19" t="s">
        <v>1016</v>
      </c>
      <c r="C47" s="19" t="s">
        <v>1110</v>
      </c>
      <c r="D47" s="19" t="s">
        <v>981</v>
      </c>
      <c r="E47" s="45">
        <v>1</v>
      </c>
    </row>
    <row r="48" spans="1:5" x14ac:dyDescent="0.25">
      <c r="A48" s="45">
        <v>47</v>
      </c>
      <c r="B48" s="19" t="s">
        <v>1000</v>
      </c>
      <c r="C48" s="19" t="s">
        <v>1111</v>
      </c>
      <c r="D48" s="19" t="s">
        <v>988</v>
      </c>
      <c r="E48" s="45">
        <v>1</v>
      </c>
    </row>
    <row r="49" spans="1:5" x14ac:dyDescent="0.25">
      <c r="A49" s="45">
        <v>48</v>
      </c>
      <c r="B49" s="19" t="s">
        <v>994</v>
      </c>
      <c r="C49" s="19" t="s">
        <v>1112</v>
      </c>
      <c r="D49" s="19" t="s">
        <v>986</v>
      </c>
      <c r="E49" s="45">
        <v>1</v>
      </c>
    </row>
    <row r="50" spans="1:5" x14ac:dyDescent="0.25">
      <c r="A50" s="45">
        <v>49</v>
      </c>
      <c r="B50" s="19" t="s">
        <v>995</v>
      </c>
      <c r="C50" s="19" t="s">
        <v>1113</v>
      </c>
      <c r="D50" s="19" t="s">
        <v>979</v>
      </c>
      <c r="E50" s="45">
        <v>1</v>
      </c>
    </row>
    <row r="51" spans="1:5" x14ac:dyDescent="0.25">
      <c r="A51" s="45">
        <v>50</v>
      </c>
      <c r="B51" s="19" t="s">
        <v>996</v>
      </c>
      <c r="C51" s="19" t="s">
        <v>1114</v>
      </c>
      <c r="D51" s="19" t="s">
        <v>980</v>
      </c>
      <c r="E51" s="45">
        <v>1</v>
      </c>
    </row>
    <row r="52" spans="1:5" x14ac:dyDescent="0.25">
      <c r="A52" s="45">
        <v>51</v>
      </c>
      <c r="B52" s="19" t="s">
        <v>1022</v>
      </c>
      <c r="C52" s="19" t="s">
        <v>1115</v>
      </c>
      <c r="D52" s="19" t="s">
        <v>982</v>
      </c>
      <c r="E52" s="45">
        <v>1</v>
      </c>
    </row>
    <row r="53" spans="1:5" x14ac:dyDescent="0.25">
      <c r="A53" s="45">
        <v>52</v>
      </c>
      <c r="B53" s="19" t="s">
        <v>1022</v>
      </c>
      <c r="C53" s="19" t="s">
        <v>1116</v>
      </c>
      <c r="D53" s="19" t="s">
        <v>982</v>
      </c>
      <c r="E53" s="45">
        <v>1</v>
      </c>
    </row>
    <row r="54" spans="1:5" x14ac:dyDescent="0.25">
      <c r="A54" s="45">
        <v>53</v>
      </c>
      <c r="B54" s="19" t="s">
        <v>1022</v>
      </c>
      <c r="C54" s="19" t="s">
        <v>1117</v>
      </c>
      <c r="D54" s="19" t="s">
        <v>982</v>
      </c>
      <c r="E54" s="45">
        <v>1</v>
      </c>
    </row>
    <row r="55" spans="1:5" x14ac:dyDescent="0.25">
      <c r="A55" s="45">
        <v>54</v>
      </c>
      <c r="B55" s="19" t="s">
        <v>1022</v>
      </c>
      <c r="C55" s="19" t="s">
        <v>1118</v>
      </c>
      <c r="D55" s="19" t="s">
        <v>982</v>
      </c>
      <c r="E55" s="45">
        <v>1</v>
      </c>
    </row>
    <row r="56" spans="1:5" x14ac:dyDescent="0.25">
      <c r="A56" s="45">
        <v>55</v>
      </c>
      <c r="B56" s="19" t="s">
        <v>1022</v>
      </c>
      <c r="C56" s="19" t="s">
        <v>1119</v>
      </c>
      <c r="D56" s="19" t="s">
        <v>982</v>
      </c>
      <c r="E56" s="45">
        <v>1</v>
      </c>
    </row>
    <row r="57" spans="1:5" x14ac:dyDescent="0.25">
      <c r="A57" s="45">
        <v>56</v>
      </c>
      <c r="B57" s="19" t="s">
        <v>993</v>
      </c>
      <c r="C57" s="19" t="s">
        <v>1120</v>
      </c>
      <c r="D57" s="19" t="s">
        <v>985</v>
      </c>
      <c r="E57" s="45">
        <v>1</v>
      </c>
    </row>
    <row r="58" spans="1:5" x14ac:dyDescent="0.25">
      <c r="A58" s="45">
        <v>57</v>
      </c>
      <c r="B58" s="19" t="s">
        <v>997</v>
      </c>
      <c r="C58" s="19" t="s">
        <v>1121</v>
      </c>
      <c r="D58" s="19" t="s">
        <v>984</v>
      </c>
      <c r="E58" s="45">
        <v>1</v>
      </c>
    </row>
    <row r="59" spans="1:5" ht="31.5" x14ac:dyDescent="0.25">
      <c r="A59" s="45">
        <v>58</v>
      </c>
      <c r="B59" s="19" t="s">
        <v>1026</v>
      </c>
      <c r="C59" s="19" t="s">
        <v>1122</v>
      </c>
      <c r="D59" s="19" t="s">
        <v>979</v>
      </c>
      <c r="E59" s="45">
        <v>1</v>
      </c>
    </row>
    <row r="60" spans="1:5" x14ac:dyDescent="0.25">
      <c r="A60" s="45">
        <v>59</v>
      </c>
      <c r="B60" s="19" t="s">
        <v>1029</v>
      </c>
      <c r="C60" s="19" t="s">
        <v>1123</v>
      </c>
      <c r="D60" s="19" t="s">
        <v>982</v>
      </c>
      <c r="E60" s="45">
        <v>1</v>
      </c>
    </row>
    <row r="61" spans="1:5" x14ac:dyDescent="0.25">
      <c r="A61" s="45">
        <v>60</v>
      </c>
      <c r="B61" s="19" t="s">
        <v>1029</v>
      </c>
      <c r="C61" s="19" t="s">
        <v>1124</v>
      </c>
      <c r="D61" s="19" t="s">
        <v>982</v>
      </c>
      <c r="E61" s="45">
        <v>1</v>
      </c>
    </row>
    <row r="62" spans="1:5" x14ac:dyDescent="0.25">
      <c r="A62" s="45">
        <v>61</v>
      </c>
      <c r="B62" s="19" t="s">
        <v>1033</v>
      </c>
      <c r="C62" s="19" t="s">
        <v>1125</v>
      </c>
      <c r="D62" s="19" t="s">
        <v>983</v>
      </c>
      <c r="E62" s="45">
        <v>1</v>
      </c>
    </row>
    <row r="63" spans="1:5" x14ac:dyDescent="0.25">
      <c r="A63" s="45">
        <v>62</v>
      </c>
      <c r="B63" s="19" t="s">
        <v>1022</v>
      </c>
      <c r="C63" s="19" t="s">
        <v>1126</v>
      </c>
      <c r="D63" s="19" t="s">
        <v>978</v>
      </c>
      <c r="E63" s="45">
        <v>1</v>
      </c>
    </row>
    <row r="64" spans="1:5" x14ac:dyDescent="0.25">
      <c r="A64" s="45">
        <v>63</v>
      </c>
      <c r="B64" s="19" t="s">
        <v>1022</v>
      </c>
      <c r="C64" s="19" t="s">
        <v>1127</v>
      </c>
      <c r="D64" s="19" t="s">
        <v>978</v>
      </c>
      <c r="E64" s="45">
        <v>1</v>
      </c>
    </row>
    <row r="65" spans="1:5" x14ac:dyDescent="0.25">
      <c r="A65" s="45">
        <v>64</v>
      </c>
      <c r="B65" s="19" t="s">
        <v>1022</v>
      </c>
      <c r="C65" s="19" t="s">
        <v>1128</v>
      </c>
      <c r="D65" s="19" t="s">
        <v>978</v>
      </c>
      <c r="E65" s="45">
        <v>1</v>
      </c>
    </row>
    <row r="66" spans="1:5" x14ac:dyDescent="0.25">
      <c r="A66" s="45">
        <v>65</v>
      </c>
      <c r="B66" s="19" t="s">
        <v>1022</v>
      </c>
      <c r="C66" s="19" t="s">
        <v>1129</v>
      </c>
      <c r="D66" s="19" t="s">
        <v>978</v>
      </c>
      <c r="E66" s="45">
        <v>1</v>
      </c>
    </row>
    <row r="67" spans="1:5" x14ac:dyDescent="0.25">
      <c r="A67" s="45">
        <v>66</v>
      </c>
      <c r="B67" s="19" t="s">
        <v>1022</v>
      </c>
      <c r="C67" s="19" t="s">
        <v>1130</v>
      </c>
      <c r="D67" s="19" t="s">
        <v>978</v>
      </c>
      <c r="E67" s="45">
        <v>1</v>
      </c>
    </row>
    <row r="68" spans="1:5" x14ac:dyDescent="0.25">
      <c r="A68" s="45">
        <v>67</v>
      </c>
      <c r="B68" s="19" t="s">
        <v>1022</v>
      </c>
      <c r="C68" s="19" t="s">
        <v>1131</v>
      </c>
      <c r="D68" s="19" t="s">
        <v>978</v>
      </c>
      <c r="E68" s="45">
        <v>1</v>
      </c>
    </row>
    <row r="69" spans="1:5" x14ac:dyDescent="0.25">
      <c r="A69" s="45">
        <v>68</v>
      </c>
      <c r="B69" s="19" t="s">
        <v>1022</v>
      </c>
      <c r="C69" s="19" t="s">
        <v>1132</v>
      </c>
      <c r="D69" s="19" t="s">
        <v>978</v>
      </c>
      <c r="E69" s="45">
        <v>1</v>
      </c>
    </row>
    <row r="70" spans="1:5" ht="31.5" x14ac:dyDescent="0.25">
      <c r="A70" s="45">
        <v>69</v>
      </c>
      <c r="B70" s="19" t="s">
        <v>1044</v>
      </c>
      <c r="C70" s="19" t="s">
        <v>1133</v>
      </c>
      <c r="D70" s="19" t="s">
        <v>991</v>
      </c>
      <c r="E70" s="45">
        <v>1</v>
      </c>
    </row>
    <row r="71" spans="1:5" x14ac:dyDescent="0.25">
      <c r="A71" s="45">
        <v>70</v>
      </c>
      <c r="B71" s="19" t="s">
        <v>1047</v>
      </c>
      <c r="C71" s="19" t="s">
        <v>1134</v>
      </c>
      <c r="D71" s="19" t="s">
        <v>992</v>
      </c>
      <c r="E71" s="45">
        <v>4</v>
      </c>
    </row>
    <row r="72" spans="1:5" ht="31.5" x14ac:dyDescent="0.25">
      <c r="A72" s="45">
        <v>71</v>
      </c>
      <c r="B72" s="19" t="s">
        <v>1050</v>
      </c>
      <c r="C72" s="19" t="s">
        <v>1135</v>
      </c>
      <c r="D72" s="19"/>
      <c r="E72" s="45">
        <v>1</v>
      </c>
    </row>
    <row r="73" spans="1:5" ht="31.5" x14ac:dyDescent="0.25">
      <c r="A73" s="45">
        <v>72</v>
      </c>
      <c r="B73" s="19" t="s">
        <v>1051</v>
      </c>
      <c r="C73" s="19" t="s">
        <v>1136</v>
      </c>
      <c r="D73" s="19" t="s">
        <v>989</v>
      </c>
      <c r="E73" s="45">
        <v>1</v>
      </c>
    </row>
    <row r="74" spans="1:5" x14ac:dyDescent="0.25">
      <c r="A74" s="45">
        <v>73</v>
      </c>
      <c r="B74" s="19" t="s">
        <v>1052</v>
      </c>
      <c r="C74" s="19" t="s">
        <v>1137</v>
      </c>
      <c r="D74" s="19" t="s">
        <v>990</v>
      </c>
      <c r="E74" s="45">
        <v>1</v>
      </c>
    </row>
    <row r="75" spans="1:5" x14ac:dyDescent="0.25">
      <c r="A75" s="45">
        <v>74</v>
      </c>
      <c r="B75" s="19" t="s">
        <v>1055</v>
      </c>
      <c r="C75" s="19" t="s">
        <v>1138</v>
      </c>
      <c r="D75" s="19" t="s">
        <v>1002</v>
      </c>
      <c r="E75" s="45">
        <v>1</v>
      </c>
    </row>
    <row r="76" spans="1:5" x14ac:dyDescent="0.25">
      <c r="A76" s="45">
        <v>75</v>
      </c>
      <c r="B76" s="19" t="s">
        <v>1056</v>
      </c>
      <c r="C76" s="19" t="s">
        <v>1139</v>
      </c>
      <c r="D76" s="19" t="s">
        <v>1003</v>
      </c>
      <c r="E76" s="45">
        <v>1</v>
      </c>
    </row>
    <row r="77" spans="1:5" x14ac:dyDescent="0.25">
      <c r="A77" s="45">
        <v>76</v>
      </c>
      <c r="B77" s="19" t="s">
        <v>1059</v>
      </c>
      <c r="C77" s="19" t="s">
        <v>1140</v>
      </c>
      <c r="D77" s="19" t="s">
        <v>987</v>
      </c>
      <c r="E77" s="45">
        <v>1</v>
      </c>
    </row>
    <row r="78" spans="1:5" x14ac:dyDescent="0.25">
      <c r="A78" s="45">
        <v>77</v>
      </c>
      <c r="B78" s="19" t="s">
        <v>1008</v>
      </c>
      <c r="C78" s="19" t="s">
        <v>1071</v>
      </c>
      <c r="D78" s="19" t="s">
        <v>951</v>
      </c>
      <c r="E78" s="45">
        <v>1</v>
      </c>
    </row>
    <row r="79" spans="1:5" x14ac:dyDescent="0.25">
      <c r="A79" s="45">
        <v>78</v>
      </c>
      <c r="B79" s="19" t="s">
        <v>1069</v>
      </c>
      <c r="C79" s="19" t="s">
        <v>1072</v>
      </c>
      <c r="D79" s="19" t="s">
        <v>951</v>
      </c>
      <c r="E79" s="45">
        <v>1</v>
      </c>
    </row>
    <row r="80" spans="1:5" x14ac:dyDescent="0.25">
      <c r="A80" s="45">
        <v>79</v>
      </c>
      <c r="B80" s="19" t="s">
        <v>1069</v>
      </c>
      <c r="C80" s="19" t="s">
        <v>1073</v>
      </c>
      <c r="D80" s="19" t="s">
        <v>951</v>
      </c>
      <c r="E80" s="45">
        <v>1</v>
      </c>
    </row>
    <row r="81" spans="1:5" x14ac:dyDescent="0.25">
      <c r="A81" s="45">
        <v>80</v>
      </c>
      <c r="B81" s="19" t="s">
        <v>1069</v>
      </c>
      <c r="C81" s="19" t="s">
        <v>1074</v>
      </c>
      <c r="D81" s="19" t="s">
        <v>951</v>
      </c>
      <c r="E81" s="45">
        <v>1</v>
      </c>
    </row>
    <row r="82" spans="1:5" x14ac:dyDescent="0.25">
      <c r="A82" s="45">
        <v>81</v>
      </c>
      <c r="B82" s="19" t="s">
        <v>1070</v>
      </c>
      <c r="C82" s="19" t="s">
        <v>1075</v>
      </c>
      <c r="D82" s="19" t="s">
        <v>951</v>
      </c>
      <c r="E82" s="45">
        <v>1</v>
      </c>
    </row>
    <row r="83" spans="1:5" x14ac:dyDescent="0.25">
      <c r="A83" s="45">
        <v>82</v>
      </c>
      <c r="B83" s="19" t="s">
        <v>1070</v>
      </c>
      <c r="C83" s="19" t="s">
        <v>1076</v>
      </c>
      <c r="D83" s="19" t="s">
        <v>951</v>
      </c>
      <c r="E83" s="45">
        <v>1</v>
      </c>
    </row>
    <row r="84" spans="1:5" x14ac:dyDescent="0.25">
      <c r="A84" s="45">
        <v>83</v>
      </c>
      <c r="B84" s="19" t="s">
        <v>1008</v>
      </c>
      <c r="C84" s="19" t="s">
        <v>1079</v>
      </c>
      <c r="D84" s="19" t="s">
        <v>951</v>
      </c>
      <c r="E84" s="45">
        <v>1</v>
      </c>
    </row>
    <row r="85" spans="1:5" x14ac:dyDescent="0.25">
      <c r="A85" s="45">
        <v>84</v>
      </c>
      <c r="B85" s="19" t="s">
        <v>999</v>
      </c>
      <c r="C85" s="19" t="s">
        <v>1082</v>
      </c>
      <c r="D85" s="19" t="s">
        <v>951</v>
      </c>
      <c r="E85" s="45">
        <v>1</v>
      </c>
    </row>
    <row r="86" spans="1:5" x14ac:dyDescent="0.25">
      <c r="A86" s="45">
        <v>85</v>
      </c>
      <c r="B86" s="19" t="s">
        <v>1020</v>
      </c>
      <c r="C86" s="19" t="s">
        <v>1084</v>
      </c>
      <c r="D86" s="19" t="s">
        <v>951</v>
      </c>
      <c r="E86" s="45">
        <v>1</v>
      </c>
    </row>
    <row r="87" spans="1:5" x14ac:dyDescent="0.25">
      <c r="A87" s="45">
        <v>86</v>
      </c>
      <c r="B87" s="19" t="s">
        <v>998</v>
      </c>
      <c r="C87" s="19" t="s">
        <v>1086</v>
      </c>
      <c r="D87" s="19" t="s">
        <v>951</v>
      </c>
      <c r="E87" s="45">
        <v>1</v>
      </c>
    </row>
    <row r="88" spans="1:5" x14ac:dyDescent="0.25">
      <c r="A88" s="45">
        <v>87</v>
      </c>
      <c r="B88" s="19" t="s">
        <v>998</v>
      </c>
      <c r="C88" s="19" t="s">
        <v>1089</v>
      </c>
      <c r="D88" s="19" t="s">
        <v>951</v>
      </c>
      <c r="E88" s="45">
        <v>1</v>
      </c>
    </row>
    <row r="89" spans="1:5" x14ac:dyDescent="0.25">
      <c r="A89" s="45">
        <v>88</v>
      </c>
      <c r="B89" s="19" t="s">
        <v>998</v>
      </c>
      <c r="C89" s="19" t="s">
        <v>1091</v>
      </c>
      <c r="D89" s="19" t="s">
        <v>951</v>
      </c>
      <c r="E89" s="45">
        <v>1</v>
      </c>
    </row>
    <row r="90" spans="1:5" x14ac:dyDescent="0.25">
      <c r="A90" s="45">
        <v>89</v>
      </c>
      <c r="B90" s="19" t="s">
        <v>998</v>
      </c>
      <c r="C90" s="19" t="s">
        <v>1094</v>
      </c>
      <c r="D90" s="19" t="s">
        <v>951</v>
      </c>
      <c r="E90" s="45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L5"/>
  <sheetViews>
    <sheetView workbookViewId="0">
      <selection sqref="A1:L5"/>
    </sheetView>
  </sheetViews>
  <sheetFormatPr defaultRowHeight="15.75" x14ac:dyDescent="0.25"/>
  <cols>
    <col min="1" max="1" width="4.25" bestFit="1" customWidth="1"/>
    <col min="2" max="2" width="45.625" customWidth="1"/>
    <col min="3" max="3" width="32" customWidth="1"/>
    <col min="4" max="4" width="28.625" customWidth="1"/>
    <col min="5" max="5" width="40.5" customWidth="1"/>
    <col min="6" max="16" width="34.125" customWidth="1"/>
  </cols>
  <sheetData>
    <row r="1" spans="1:12" x14ac:dyDescent="0.25">
      <c r="A1" t="s">
        <v>0</v>
      </c>
      <c r="B1" t="s">
        <v>66</v>
      </c>
      <c r="C1" t="s">
        <v>1230</v>
      </c>
      <c r="D1" t="s">
        <v>47</v>
      </c>
      <c r="E1" t="s">
        <v>67</v>
      </c>
      <c r="F1" t="s">
        <v>167</v>
      </c>
      <c r="G1" t="s">
        <v>955</v>
      </c>
      <c r="H1" t="s">
        <v>956</v>
      </c>
      <c r="I1" t="s">
        <v>109</v>
      </c>
      <c r="J1" t="s">
        <v>168</v>
      </c>
      <c r="K1" t="s">
        <v>1218</v>
      </c>
      <c r="L1" t="s">
        <v>1219</v>
      </c>
    </row>
    <row r="2" spans="1:12" ht="94.5" x14ac:dyDescent="0.25">
      <c r="A2">
        <v>1</v>
      </c>
      <c r="B2" s="1" t="s">
        <v>1280</v>
      </c>
      <c r="C2" s="1" t="s">
        <v>1280</v>
      </c>
      <c r="D2" s="1" t="s">
        <v>1281</v>
      </c>
      <c r="E2" s="1" t="s">
        <v>1282</v>
      </c>
      <c r="F2" s="1" t="s">
        <v>1283</v>
      </c>
      <c r="G2" t="s">
        <v>1284</v>
      </c>
      <c r="H2" t="s">
        <v>1284</v>
      </c>
      <c r="I2" s="1" t="s">
        <v>1285</v>
      </c>
      <c r="J2" t="s">
        <v>1285</v>
      </c>
      <c r="K2" t="s">
        <v>1217</v>
      </c>
      <c r="L2" t="s">
        <v>1220</v>
      </c>
    </row>
    <row r="3" spans="1:12" ht="31.5" x14ac:dyDescent="0.25">
      <c r="A3">
        <v>2</v>
      </c>
      <c r="B3" s="1" t="s">
        <v>1286</v>
      </c>
      <c r="C3" s="1" t="s">
        <v>1286</v>
      </c>
      <c r="D3" s="1" t="s">
        <v>1246</v>
      </c>
      <c r="E3" s="1" t="s">
        <v>1287</v>
      </c>
      <c r="F3" s="1" t="s">
        <v>1288</v>
      </c>
      <c r="G3" t="s">
        <v>1289</v>
      </c>
      <c r="H3" t="s">
        <v>1289</v>
      </c>
      <c r="I3" s="1"/>
      <c r="K3" t="s">
        <v>1225</v>
      </c>
      <c r="L3" t="s">
        <v>1226</v>
      </c>
    </row>
    <row r="4" spans="1:12" x14ac:dyDescent="0.25">
      <c r="A4">
        <v>4</v>
      </c>
      <c r="B4" s="1"/>
      <c r="C4" s="1"/>
      <c r="D4" s="1"/>
      <c r="E4" s="1"/>
      <c r="F4" s="1"/>
      <c r="I4" s="1"/>
      <c r="K4" t="s">
        <v>1222</v>
      </c>
      <c r="L4" t="s">
        <v>1223</v>
      </c>
    </row>
    <row r="5" spans="1:12" ht="47.25" x14ac:dyDescent="0.25">
      <c r="A5">
        <v>3</v>
      </c>
      <c r="B5" s="1" t="s">
        <v>1290</v>
      </c>
      <c r="C5" s="1" t="s">
        <v>1290</v>
      </c>
      <c r="D5" s="1" t="s">
        <v>963</v>
      </c>
      <c r="E5" s="1" t="s">
        <v>1291</v>
      </c>
      <c r="F5" s="1" t="s">
        <v>1292</v>
      </c>
      <c r="I5" s="1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P2"/>
  <sheetViews>
    <sheetView workbookViewId="0">
      <selection activeCell="I2" sqref="I2"/>
    </sheetView>
  </sheetViews>
  <sheetFormatPr defaultRowHeight="15.75" x14ac:dyDescent="0.25"/>
  <cols>
    <col min="1" max="1" width="4.25" bestFit="1" customWidth="1"/>
    <col min="2" max="2" width="6" bestFit="1" customWidth="1"/>
    <col min="3" max="3" width="33.5" customWidth="1"/>
    <col min="4" max="4" width="33.125" customWidth="1"/>
    <col min="5" max="17" width="30.625" customWidth="1"/>
    <col min="18" max="18" width="23" customWidth="1"/>
    <col min="19" max="19" width="30.625" customWidth="1"/>
  </cols>
  <sheetData>
    <row r="1" spans="1:16" x14ac:dyDescent="0.25">
      <c r="A1" t="s">
        <v>0</v>
      </c>
      <c r="B1" t="s">
        <v>2</v>
      </c>
      <c r="C1" s="1" t="s">
        <v>108</v>
      </c>
      <c r="D1" t="s">
        <v>1272</v>
      </c>
      <c r="E1" t="s">
        <v>215</v>
      </c>
      <c r="F1" t="s">
        <v>124</v>
      </c>
      <c r="G1" t="s">
        <v>113</v>
      </c>
      <c r="H1" t="s">
        <v>125</v>
      </c>
      <c r="I1" s="1" t="s">
        <v>110</v>
      </c>
      <c r="J1" t="s">
        <v>111</v>
      </c>
      <c r="K1" t="s">
        <v>116</v>
      </c>
      <c r="L1" t="s">
        <v>117</v>
      </c>
      <c r="M1" t="s">
        <v>112</v>
      </c>
      <c r="N1" t="s">
        <v>126</v>
      </c>
      <c r="O1" t="s">
        <v>114</v>
      </c>
      <c r="P1" t="s">
        <v>115</v>
      </c>
    </row>
    <row r="2" spans="1:16" ht="189" x14ac:dyDescent="0.25">
      <c r="A2">
        <v>4</v>
      </c>
      <c r="B2" t="s">
        <v>103</v>
      </c>
      <c r="C2" s="1" t="s">
        <v>1295</v>
      </c>
      <c r="D2" s="1" t="s">
        <v>1269</v>
      </c>
      <c r="E2">
        <v>4</v>
      </c>
      <c r="F2">
        <v>1</v>
      </c>
      <c r="G2" s="1" t="s">
        <v>1296</v>
      </c>
      <c r="H2">
        <v>2</v>
      </c>
      <c r="I2" s="1" t="s">
        <v>1297</v>
      </c>
      <c r="J2" s="1" t="s">
        <v>1271</v>
      </c>
      <c r="K2" s="2">
        <v>73050</v>
      </c>
      <c r="L2" s="2">
        <v>73050</v>
      </c>
      <c r="M2" s="1" t="s">
        <v>1298</v>
      </c>
      <c r="O2" s="1"/>
      <c r="P2" s="1" t="s">
        <v>131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E13"/>
  <sheetViews>
    <sheetView topLeftCell="AR1" zoomScale="60" zoomScaleNormal="60" workbookViewId="0">
      <selection activeCell="BA11" sqref="BA11"/>
    </sheetView>
  </sheetViews>
  <sheetFormatPr defaultRowHeight="15.75" x14ac:dyDescent="0.25"/>
  <cols>
    <col min="1" max="1" width="19.25" bestFit="1" customWidth="1"/>
    <col min="2" max="2" width="14.625" customWidth="1"/>
    <col min="4" max="4" width="18.125" customWidth="1"/>
    <col min="5" max="5" width="10.625" customWidth="1"/>
    <col min="8" max="8" width="15.5" bestFit="1" customWidth="1"/>
    <col min="9" max="9" width="13.125" bestFit="1" customWidth="1"/>
    <col min="10" max="10" width="45.125" bestFit="1" customWidth="1"/>
    <col min="11" max="11" width="19.5" bestFit="1" customWidth="1"/>
    <col min="12" max="12" width="10.125" bestFit="1" customWidth="1"/>
    <col min="13" max="13" width="11.375" bestFit="1" customWidth="1"/>
    <col min="14" max="14" width="32.375" bestFit="1" customWidth="1"/>
    <col min="15" max="15" width="20.25" bestFit="1" customWidth="1"/>
    <col min="16" max="16" width="18.125" bestFit="1" customWidth="1"/>
    <col min="17" max="17" width="14.875" bestFit="1" customWidth="1"/>
    <col min="18" max="18" width="15.625" bestFit="1" customWidth="1"/>
    <col min="19" max="19" width="14" bestFit="1" customWidth="1"/>
    <col min="20" max="20" width="15.625" bestFit="1" customWidth="1"/>
    <col min="21" max="21" width="26.75" bestFit="1" customWidth="1"/>
    <col min="22" max="22" width="29.875" bestFit="1" customWidth="1"/>
    <col min="23" max="23" width="20.625" bestFit="1" customWidth="1"/>
    <col min="24" max="24" width="23.875" bestFit="1" customWidth="1"/>
    <col min="25" max="25" width="22.375" bestFit="1" customWidth="1"/>
    <col min="26" max="26" width="16.375" bestFit="1" customWidth="1"/>
    <col min="27" max="27" width="12.375" bestFit="1" customWidth="1"/>
    <col min="28" max="28" width="12" bestFit="1" customWidth="1"/>
    <col min="29" max="29" width="11.125" bestFit="1" customWidth="1"/>
    <col min="30" max="30" width="42.75" bestFit="1" customWidth="1"/>
    <col min="31" max="31" width="21.5" bestFit="1" customWidth="1"/>
    <col min="32" max="32" width="15.375" bestFit="1" customWidth="1"/>
    <col min="33" max="33" width="27" bestFit="1" customWidth="1"/>
    <col min="34" max="34" width="34.25" bestFit="1" customWidth="1"/>
    <col min="35" max="35" width="33.375" bestFit="1" customWidth="1"/>
    <col min="36" max="36" width="29.375" bestFit="1" customWidth="1"/>
    <col min="37" max="37" width="53.875" bestFit="1" customWidth="1"/>
    <col min="38" max="38" width="26.625" bestFit="1" customWidth="1"/>
    <col min="39" max="39" width="29.875" bestFit="1" customWidth="1"/>
    <col min="40" max="40" width="65.625" bestFit="1" customWidth="1"/>
    <col min="41" max="41" width="53.625" bestFit="1" customWidth="1"/>
    <col min="42" max="42" width="31.75" bestFit="1" customWidth="1"/>
    <col min="43" max="43" width="22.375" bestFit="1" customWidth="1"/>
    <col min="44" max="44" width="75.75" bestFit="1" customWidth="1"/>
    <col min="45" max="45" width="15.375" bestFit="1" customWidth="1"/>
    <col min="46" max="46" width="17.375" bestFit="1" customWidth="1"/>
    <col min="47" max="47" width="10.625" bestFit="1" customWidth="1"/>
    <col min="48" max="48" width="20.625" bestFit="1" customWidth="1"/>
    <col min="49" max="49" width="15.625" bestFit="1" customWidth="1"/>
    <col min="50" max="50" width="10.125" bestFit="1" customWidth="1"/>
    <col min="51" max="51" width="13.125" bestFit="1" customWidth="1"/>
    <col min="52" max="52" width="14.25" bestFit="1" customWidth="1"/>
    <col min="53" max="53" width="14.125" bestFit="1" customWidth="1"/>
    <col min="54" max="54" width="18.125" bestFit="1" customWidth="1"/>
    <col min="55" max="55" width="45.125" bestFit="1" customWidth="1"/>
    <col min="56" max="56" width="14.25" bestFit="1" customWidth="1"/>
    <col min="57" max="57" width="13.125" bestFit="1" customWidth="1"/>
    <col min="58" max="59" width="14.75" bestFit="1" customWidth="1"/>
    <col min="60" max="60" width="14.125" bestFit="1" customWidth="1"/>
    <col min="63" max="63" width="22.25" bestFit="1" customWidth="1"/>
    <col min="64" max="64" width="14.125" bestFit="1" customWidth="1"/>
    <col min="65" max="65" width="14.75" bestFit="1" customWidth="1"/>
  </cols>
  <sheetData>
    <row r="1" spans="1:57" x14ac:dyDescent="0.25">
      <c r="A1" t="s">
        <v>1299</v>
      </c>
      <c r="B1" t="s">
        <v>75</v>
      </c>
      <c r="D1" t="s">
        <v>2</v>
      </c>
      <c r="F1" t="s">
        <v>166</v>
      </c>
      <c r="H1" t="s">
        <v>41</v>
      </c>
      <c r="I1" t="s">
        <v>43</v>
      </c>
      <c r="J1" t="s">
        <v>42</v>
      </c>
      <c r="K1" t="s">
        <v>64</v>
      </c>
      <c r="L1" t="s">
        <v>5</v>
      </c>
      <c r="M1" t="s">
        <v>65</v>
      </c>
      <c r="N1" t="s">
        <v>44</v>
      </c>
      <c r="O1" t="s">
        <v>45</v>
      </c>
      <c r="P1" t="s">
        <v>46</v>
      </c>
      <c r="Q1" t="s">
        <v>311</v>
      </c>
      <c r="R1" t="s">
        <v>72</v>
      </c>
      <c r="S1" t="s">
        <v>163</v>
      </c>
      <c r="T1" t="s">
        <v>34</v>
      </c>
      <c r="U1" t="s">
        <v>225</v>
      </c>
      <c r="V1" t="s">
        <v>138</v>
      </c>
      <c r="W1" t="s">
        <v>136</v>
      </c>
      <c r="X1" t="s">
        <v>147</v>
      </c>
      <c r="Y1" t="s">
        <v>148</v>
      </c>
      <c r="Z1" t="s">
        <v>137</v>
      </c>
      <c r="AA1" t="s">
        <v>135</v>
      </c>
      <c r="AB1" t="s">
        <v>164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  <c r="AT1" t="s">
        <v>1241</v>
      </c>
      <c r="AU1" t="s">
        <v>1257</v>
      </c>
      <c r="AV1" t="s">
        <v>1242</v>
      </c>
      <c r="AY1" t="s">
        <v>43</v>
      </c>
      <c r="AZ1" t="s">
        <v>134</v>
      </c>
      <c r="BC1" t="s">
        <v>42</v>
      </c>
      <c r="BD1" t="s">
        <v>134</v>
      </c>
      <c r="BE1" t="s">
        <v>43</v>
      </c>
    </row>
    <row r="2" spans="1:57" x14ac:dyDescent="0.25">
      <c r="B2" s="3" t="s">
        <v>0</v>
      </c>
      <c r="D2" t="s">
        <v>20</v>
      </c>
      <c r="H2" t="s">
        <v>150</v>
      </c>
      <c r="I2" t="s">
        <v>967</v>
      </c>
      <c r="J2" t="s">
        <v>961</v>
      </c>
      <c r="K2" s="2">
        <v>73050</v>
      </c>
      <c r="N2" t="s">
        <v>1229</v>
      </c>
      <c r="O2" t="s">
        <v>150</v>
      </c>
      <c r="P2" t="s">
        <v>1001</v>
      </c>
      <c r="R2">
        <v>1</v>
      </c>
      <c r="AT2">
        <v>1</v>
      </c>
      <c r="AU2" t="b">
        <v>1</v>
      </c>
      <c r="AV2">
        <v>7</v>
      </c>
      <c r="AY2" t="s">
        <v>967</v>
      </c>
      <c r="AZ2">
        <v>4</v>
      </c>
      <c r="BC2" t="s">
        <v>961</v>
      </c>
      <c r="BD2">
        <v>1</v>
      </c>
      <c r="BE2" t="s">
        <v>967</v>
      </c>
    </row>
    <row r="3" spans="1:57" x14ac:dyDescent="0.25">
      <c r="B3" s="3" t="s">
        <v>1</v>
      </c>
      <c r="D3" t="s">
        <v>21</v>
      </c>
      <c r="F3" t="s">
        <v>39</v>
      </c>
      <c r="H3" t="s">
        <v>151</v>
      </c>
      <c r="I3" t="s">
        <v>967</v>
      </c>
      <c r="J3" t="s">
        <v>962</v>
      </c>
      <c r="K3" s="2">
        <v>73050</v>
      </c>
      <c r="N3" t="s">
        <v>1229</v>
      </c>
      <c r="O3" t="s">
        <v>151</v>
      </c>
      <c r="P3" t="s">
        <v>973</v>
      </c>
      <c r="R3">
        <v>1</v>
      </c>
      <c r="AT3">
        <v>2</v>
      </c>
      <c r="AU3" t="b">
        <v>1</v>
      </c>
      <c r="AV3">
        <v>9</v>
      </c>
      <c r="AY3" t="s">
        <v>1245</v>
      </c>
      <c r="AZ3">
        <v>1</v>
      </c>
      <c r="BC3" t="s">
        <v>962</v>
      </c>
      <c r="BD3">
        <v>1</v>
      </c>
      <c r="BE3" t="s">
        <v>967</v>
      </c>
    </row>
    <row r="4" spans="1:57" x14ac:dyDescent="0.25">
      <c r="B4" s="3" t="s">
        <v>3</v>
      </c>
      <c r="D4" t="s">
        <v>22</v>
      </c>
      <c r="H4" t="s">
        <v>152</v>
      </c>
      <c r="I4" t="s">
        <v>967</v>
      </c>
      <c r="J4" t="s">
        <v>963</v>
      </c>
      <c r="K4" s="2">
        <v>73050</v>
      </c>
      <c r="N4" t="s">
        <v>1229</v>
      </c>
      <c r="O4" t="s">
        <v>152</v>
      </c>
      <c r="P4" t="s">
        <v>972</v>
      </c>
      <c r="R4">
        <v>1</v>
      </c>
      <c r="AT4">
        <v>3</v>
      </c>
      <c r="AU4" t="b">
        <v>1</v>
      </c>
      <c r="AV4">
        <v>11</v>
      </c>
      <c r="BC4" t="s">
        <v>963</v>
      </c>
      <c r="BD4">
        <v>1</v>
      </c>
      <c r="BE4" t="s">
        <v>967</v>
      </c>
    </row>
    <row r="5" spans="1:57" x14ac:dyDescent="0.25">
      <c r="B5" s="3" t="s">
        <v>7</v>
      </c>
      <c r="D5" t="s">
        <v>23</v>
      </c>
      <c r="H5" t="s">
        <v>149</v>
      </c>
      <c r="I5" t="s">
        <v>967</v>
      </c>
      <c r="J5" t="s">
        <v>1151</v>
      </c>
      <c r="K5" s="2">
        <v>73050</v>
      </c>
      <c r="N5" t="s">
        <v>1229</v>
      </c>
      <c r="P5" t="s">
        <v>974</v>
      </c>
      <c r="R5">
        <v>1</v>
      </c>
      <c r="AT5">
        <v>0</v>
      </c>
      <c r="AU5" t="b">
        <v>1</v>
      </c>
      <c r="AV5">
        <v>1</v>
      </c>
      <c r="BC5" t="s">
        <v>1151</v>
      </c>
      <c r="BD5">
        <v>1</v>
      </c>
      <c r="BE5" t="s">
        <v>967</v>
      </c>
    </row>
    <row r="6" spans="1:57" x14ac:dyDescent="0.25">
      <c r="B6" s="3" t="s">
        <v>8</v>
      </c>
      <c r="D6" t="s">
        <v>24</v>
      </c>
      <c r="H6" t="s">
        <v>158</v>
      </c>
      <c r="I6" t="s">
        <v>1245</v>
      </c>
      <c r="J6" t="s">
        <v>1246</v>
      </c>
      <c r="K6" s="2">
        <v>73050</v>
      </c>
      <c r="N6" t="s">
        <v>1247</v>
      </c>
      <c r="O6" t="s">
        <v>1265</v>
      </c>
      <c r="R6">
        <v>1</v>
      </c>
      <c r="S6">
        <v>10</v>
      </c>
      <c r="AT6">
        <v>11</v>
      </c>
      <c r="AV6">
        <v>4</v>
      </c>
      <c r="BC6" t="s">
        <v>1246</v>
      </c>
      <c r="BD6">
        <v>8</v>
      </c>
      <c r="BE6" t="s">
        <v>1245</v>
      </c>
    </row>
    <row r="7" spans="1:57" x14ac:dyDescent="0.25">
      <c r="B7" s="3" t="s">
        <v>9</v>
      </c>
      <c r="D7" t="s">
        <v>171</v>
      </c>
      <c r="H7" t="s">
        <v>159</v>
      </c>
      <c r="I7" t="s">
        <v>1245</v>
      </c>
      <c r="J7" t="s">
        <v>1246</v>
      </c>
      <c r="K7" s="2">
        <v>73050</v>
      </c>
      <c r="N7" t="s">
        <v>1247</v>
      </c>
      <c r="O7" t="s">
        <v>1266</v>
      </c>
      <c r="R7">
        <v>1</v>
      </c>
      <c r="S7">
        <v>11</v>
      </c>
      <c r="AT7">
        <v>12</v>
      </c>
      <c r="AV7">
        <v>5</v>
      </c>
    </row>
    <row r="8" spans="1:57" x14ac:dyDescent="0.25">
      <c r="H8" t="s">
        <v>1268</v>
      </c>
      <c r="I8" t="s">
        <v>1245</v>
      </c>
      <c r="J8" t="s">
        <v>1246</v>
      </c>
      <c r="K8" s="2">
        <v>73050</v>
      </c>
      <c r="N8" t="s">
        <v>1247</v>
      </c>
      <c r="O8" t="s">
        <v>1267</v>
      </c>
      <c r="R8">
        <v>1</v>
      </c>
      <c r="S8">
        <v>12</v>
      </c>
      <c r="AT8">
        <v>13</v>
      </c>
      <c r="AV8">
        <v>6</v>
      </c>
    </row>
    <row r="9" spans="1:57" x14ac:dyDescent="0.25">
      <c r="H9" t="s">
        <v>153</v>
      </c>
      <c r="I9" t="s">
        <v>1245</v>
      </c>
      <c r="J9" t="s">
        <v>1246</v>
      </c>
      <c r="K9" s="2">
        <v>73050</v>
      </c>
      <c r="N9" t="s">
        <v>1229</v>
      </c>
      <c r="O9" t="s">
        <v>153</v>
      </c>
      <c r="P9" t="s">
        <v>972</v>
      </c>
      <c r="R9">
        <v>1</v>
      </c>
      <c r="AT9">
        <v>4</v>
      </c>
      <c r="AU9" t="b">
        <v>1</v>
      </c>
      <c r="AV9">
        <v>13</v>
      </c>
    </row>
    <row r="10" spans="1:57" x14ac:dyDescent="0.25">
      <c r="H10" t="s">
        <v>154</v>
      </c>
      <c r="I10" t="s">
        <v>1245</v>
      </c>
      <c r="J10" t="s">
        <v>1246</v>
      </c>
      <c r="K10" s="2">
        <v>73050</v>
      </c>
      <c r="N10" t="s">
        <v>1247</v>
      </c>
      <c r="O10" t="s">
        <v>1261</v>
      </c>
      <c r="R10">
        <v>1</v>
      </c>
      <c r="S10">
        <v>6</v>
      </c>
      <c r="AT10">
        <v>7</v>
      </c>
      <c r="AV10">
        <v>15</v>
      </c>
    </row>
    <row r="11" spans="1:57" x14ac:dyDescent="0.25">
      <c r="H11" t="s">
        <v>155</v>
      </c>
      <c r="I11" t="s">
        <v>1245</v>
      </c>
      <c r="J11" t="s">
        <v>1246</v>
      </c>
      <c r="K11" s="2">
        <v>73050</v>
      </c>
      <c r="N11" t="s">
        <v>1247</v>
      </c>
      <c r="O11" t="s">
        <v>1262</v>
      </c>
      <c r="R11">
        <v>1</v>
      </c>
      <c r="S11">
        <v>7</v>
      </c>
      <c r="AT11">
        <v>8</v>
      </c>
      <c r="AV11">
        <v>16</v>
      </c>
    </row>
    <row r="12" spans="1:57" x14ac:dyDescent="0.25">
      <c r="H12" t="s">
        <v>156</v>
      </c>
      <c r="I12" t="s">
        <v>1245</v>
      </c>
      <c r="J12" t="s">
        <v>1246</v>
      </c>
      <c r="K12" s="2">
        <v>73050</v>
      </c>
      <c r="N12" t="s">
        <v>1247</v>
      </c>
      <c r="O12" t="s">
        <v>1263</v>
      </c>
      <c r="R12">
        <v>1</v>
      </c>
      <c r="S12">
        <v>8</v>
      </c>
      <c r="AT12">
        <v>9</v>
      </c>
      <c r="AV12">
        <v>17</v>
      </c>
    </row>
    <row r="13" spans="1:57" x14ac:dyDescent="0.25">
      <c r="H13" t="s">
        <v>157</v>
      </c>
      <c r="I13" t="s">
        <v>1245</v>
      </c>
      <c r="J13" t="s">
        <v>1246</v>
      </c>
      <c r="K13" s="2">
        <v>73050</v>
      </c>
      <c r="N13" t="s">
        <v>1247</v>
      </c>
      <c r="O13" t="s">
        <v>1264</v>
      </c>
      <c r="R13">
        <v>1</v>
      </c>
      <c r="S13">
        <v>9</v>
      </c>
      <c r="AT13">
        <v>10</v>
      </c>
      <c r="AV13">
        <v>18</v>
      </c>
    </row>
  </sheetData>
  <phoneticPr fontId="2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F9"/>
  <sheetViews>
    <sheetView showGridLines="0" workbookViewId="0">
      <selection activeCell="C10" sqref="C10"/>
    </sheetView>
  </sheetViews>
  <sheetFormatPr defaultRowHeight="15.75" x14ac:dyDescent="0.25"/>
  <cols>
    <col min="1" max="1" width="4.25" bestFit="1" customWidth="1"/>
    <col min="2" max="2" width="9.25" bestFit="1" customWidth="1"/>
    <col min="3" max="3" width="80.625" bestFit="1" customWidth="1"/>
    <col min="4" max="4" width="46.625" bestFit="1" customWidth="1"/>
    <col min="5" max="5" width="19.125" bestFit="1" customWidth="1"/>
    <col min="6" max="6" width="14.25" bestFit="1" customWidth="1"/>
    <col min="7" max="7" width="16.125" bestFit="1" customWidth="1"/>
  </cols>
  <sheetData>
    <row r="1" spans="1:6" x14ac:dyDescent="0.25">
      <c r="A1" t="s">
        <v>0</v>
      </c>
      <c r="B1" t="s">
        <v>80</v>
      </c>
      <c r="C1" t="s">
        <v>42</v>
      </c>
      <c r="D1" t="s">
        <v>81</v>
      </c>
      <c r="E1" t="s">
        <v>46</v>
      </c>
      <c r="F1" t="s">
        <v>72</v>
      </c>
    </row>
    <row r="2" spans="1:6" x14ac:dyDescent="0.25">
      <c r="A2" s="55">
        <v>1</v>
      </c>
      <c r="B2" s="56">
        <v>1</v>
      </c>
      <c r="C2" s="54" t="s">
        <v>961</v>
      </c>
      <c r="D2" s="54" t="s">
        <v>1005</v>
      </c>
      <c r="E2" s="53" t="s">
        <v>1293</v>
      </c>
      <c r="F2" s="56">
        <v>3</v>
      </c>
    </row>
    <row r="3" spans="1:6" x14ac:dyDescent="0.25">
      <c r="A3" s="55">
        <v>1</v>
      </c>
      <c r="B3" s="56">
        <v>2</v>
      </c>
      <c r="C3" s="54" t="s">
        <v>962</v>
      </c>
      <c r="D3" s="54" t="s">
        <v>1202</v>
      </c>
      <c r="E3" s="53" t="s">
        <v>1293</v>
      </c>
      <c r="F3" s="56">
        <v>1</v>
      </c>
    </row>
    <row r="4" spans="1:6" hidden="1" x14ac:dyDescent="0.25">
      <c r="A4" s="55">
        <v>3</v>
      </c>
      <c r="B4" s="56">
        <v>1</v>
      </c>
      <c r="C4" s="54" t="s">
        <v>963</v>
      </c>
      <c r="D4" s="54" t="s">
        <v>1203</v>
      </c>
      <c r="E4" s="53" t="s">
        <v>1293</v>
      </c>
      <c r="F4" s="56">
        <v>1</v>
      </c>
    </row>
    <row r="5" spans="1:6" hidden="1" x14ac:dyDescent="0.25">
      <c r="A5" s="55">
        <v>2</v>
      </c>
      <c r="B5" s="56">
        <v>1</v>
      </c>
      <c r="C5" s="54" t="s">
        <v>1246</v>
      </c>
      <c r="D5" s="54" t="s">
        <v>1254</v>
      </c>
      <c r="E5" s="53" t="s">
        <v>1293</v>
      </c>
      <c r="F5" s="56">
        <v>1</v>
      </c>
    </row>
    <row r="6" spans="1:6" hidden="1" x14ac:dyDescent="0.25">
      <c r="A6" s="55">
        <v>4</v>
      </c>
      <c r="B6" s="56">
        <v>1</v>
      </c>
      <c r="C6" s="54" t="s">
        <v>961</v>
      </c>
      <c r="D6" s="54" t="s">
        <v>1005</v>
      </c>
      <c r="E6" s="53" t="s">
        <v>1293</v>
      </c>
      <c r="F6" s="56">
        <v>3</v>
      </c>
    </row>
    <row r="7" spans="1:6" hidden="1" x14ac:dyDescent="0.25">
      <c r="A7" s="55">
        <v>4</v>
      </c>
      <c r="B7" s="56">
        <v>2</v>
      </c>
      <c r="C7" s="54" t="s">
        <v>962</v>
      </c>
      <c r="D7" s="54" t="s">
        <v>1202</v>
      </c>
      <c r="E7" s="53" t="s">
        <v>1293</v>
      </c>
      <c r="F7" s="56">
        <v>1</v>
      </c>
    </row>
    <row r="8" spans="1:6" hidden="1" x14ac:dyDescent="0.25">
      <c r="A8" s="55">
        <v>4</v>
      </c>
      <c r="B8" s="56">
        <v>3</v>
      </c>
      <c r="C8" s="54" t="s">
        <v>963</v>
      </c>
      <c r="D8" s="54" t="s">
        <v>1203</v>
      </c>
      <c r="E8" s="53" t="s">
        <v>1293</v>
      </c>
      <c r="F8" s="56">
        <v>1</v>
      </c>
    </row>
    <row r="9" spans="1:6" hidden="1" x14ac:dyDescent="0.25">
      <c r="A9" s="55">
        <v>4</v>
      </c>
      <c r="B9" s="56">
        <v>4</v>
      </c>
      <c r="C9" s="54" t="s">
        <v>1246</v>
      </c>
      <c r="D9" s="54" t="s">
        <v>1254</v>
      </c>
      <c r="E9" s="53" t="s">
        <v>1293</v>
      </c>
      <c r="F9" s="56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F7"/>
  <sheetViews>
    <sheetView workbookViewId="0">
      <selection activeCell="C23" sqref="C23"/>
    </sheetView>
  </sheetViews>
  <sheetFormatPr defaultRowHeight="15.75" x14ac:dyDescent="0.25"/>
  <cols>
    <col min="1" max="1" width="4.25" bestFit="1" customWidth="1"/>
    <col min="2" max="2" width="8.25" bestFit="1" customWidth="1"/>
    <col min="3" max="3" width="60.75" bestFit="1" customWidth="1"/>
    <col min="4" max="4" width="28.75" bestFit="1" customWidth="1"/>
    <col min="5" max="5" width="9.75" bestFit="1" customWidth="1"/>
    <col min="6" max="6" width="14.25" bestFit="1" customWidth="1"/>
    <col min="7" max="7" width="9.75" customWidth="1"/>
  </cols>
  <sheetData>
    <row r="1" spans="1:6" x14ac:dyDescent="0.25">
      <c r="A1" t="s">
        <v>0</v>
      </c>
      <c r="B1" t="s">
        <v>82</v>
      </c>
      <c r="C1" t="s">
        <v>44</v>
      </c>
      <c r="D1" t="s">
        <v>69</v>
      </c>
      <c r="E1" t="s">
        <v>70</v>
      </c>
      <c r="F1" t="s">
        <v>72</v>
      </c>
    </row>
    <row r="2" spans="1:6" ht="30" x14ac:dyDescent="0.25">
      <c r="A2" s="52">
        <v>1</v>
      </c>
      <c r="B2" s="53">
        <v>1</v>
      </c>
      <c r="C2" s="54" t="s">
        <v>1294</v>
      </c>
      <c r="D2" s="54" t="s">
        <v>1156</v>
      </c>
      <c r="E2" s="53" t="s">
        <v>1293</v>
      </c>
      <c r="F2" s="53">
        <v>4</v>
      </c>
    </row>
    <row r="3" spans="1:6" ht="45" x14ac:dyDescent="0.25">
      <c r="A3" s="52">
        <v>1</v>
      </c>
      <c r="B3" s="53">
        <v>2</v>
      </c>
      <c r="C3" s="54" t="s">
        <v>1255</v>
      </c>
      <c r="D3" s="54" t="s">
        <v>950</v>
      </c>
      <c r="E3" s="53" t="s">
        <v>1293</v>
      </c>
      <c r="F3" s="53">
        <v>1</v>
      </c>
    </row>
    <row r="4" spans="1:6" ht="30" hidden="1" x14ac:dyDescent="0.25">
      <c r="A4" s="52">
        <v>2</v>
      </c>
      <c r="B4" s="53">
        <v>1</v>
      </c>
      <c r="C4" s="54" t="s">
        <v>1200</v>
      </c>
      <c r="D4" s="54" t="s">
        <v>1157</v>
      </c>
      <c r="E4" s="53" t="s">
        <v>1293</v>
      </c>
      <c r="F4" s="53">
        <v>2</v>
      </c>
    </row>
    <row r="5" spans="1:6" ht="30" hidden="1" x14ac:dyDescent="0.25">
      <c r="A5" s="52">
        <v>4</v>
      </c>
      <c r="B5" s="53">
        <v>1</v>
      </c>
      <c r="C5" s="54" t="s">
        <v>1200</v>
      </c>
      <c r="D5" s="54" t="s">
        <v>1157</v>
      </c>
      <c r="E5" s="53" t="s">
        <v>1293</v>
      </c>
      <c r="F5" s="53">
        <v>2</v>
      </c>
    </row>
    <row r="6" spans="1:6" ht="30" hidden="1" x14ac:dyDescent="0.25">
      <c r="A6" s="52">
        <v>4</v>
      </c>
      <c r="B6" s="53">
        <v>2</v>
      </c>
      <c r="C6" s="54" t="s">
        <v>1294</v>
      </c>
      <c r="D6" s="54" t="s">
        <v>1156</v>
      </c>
      <c r="E6" s="53" t="s">
        <v>1293</v>
      </c>
      <c r="F6" s="53">
        <v>4</v>
      </c>
    </row>
    <row r="7" spans="1:6" ht="45" hidden="1" x14ac:dyDescent="0.25">
      <c r="A7" s="146">
        <v>4</v>
      </c>
      <c r="B7" s="147">
        <v>3</v>
      </c>
      <c r="C7" s="148" t="s">
        <v>1255</v>
      </c>
      <c r="D7" s="148" t="s">
        <v>950</v>
      </c>
      <c r="E7" s="147" t="s">
        <v>1293</v>
      </c>
      <c r="F7" s="147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UI/_rels/customUI14.xml.rels><?xml version="1.0" encoding="UTF-8" standalone="yes"?>
<Relationships xmlns="http://schemas.openxmlformats.org/package/2006/relationships"><Relationship Id="logo" Type="http://schemas.openxmlformats.org/officeDocument/2006/relationships/image" Target="images/logo.png"/><Relationship Id="logo2" Type="http://schemas.openxmlformats.org/officeDocument/2006/relationships/image" Target="images/logo2.png"/></Relationships>
</file>

<file path=customUI/customUI14.xml><?xml version="1.0" encoding="utf-8"?>
<customUI xmlns="http://schemas.microsoft.com/office/2009/07/customui" onLoad="RibbonOnLoad">
  <ribbon>
    <tabs>
      <tab id="customTab" label="⚡Автогенератор" insertBeforeMso="TabHome" keytip="D">
        <group id="DynamicGroup2" getLabel="GetGroupLabel" imageMso="GroupTools">
          <toggleButton id="ToggleButton_GetSheet1Visibility_Помощь" label="О программе" onAction="Отображение_i" image="logo" getPressed="GetSheet1Visibility_Помощь" keytip="Z" screentip="Отобразить информацию" size="large"/>
          <toggleButton id="ToggleButton_GetSheet1Visibility_Настройки" label="Настройки" onAction="Отображение_Настройки" imageMso="CurrentViewSettings" getPressed="GetSheet1Visibility_Настройки" keytip="Z" screentip="Отобразить настройки" size="large"/>
          <separator id="sep1"/>
          <toggleButton id="ToggleButton_GetSheet1Visibility_Реестр_ИД" label="Реестр ИД" onAction="Отображение_Реестр_ИД" imageMso="SignatureInsertMenu" getPressed="GetSheet1Visibility_Реестр_ИД" keytip="Z" screentip="Отобразить Реестр ИД"/>
          <toggleButton id="ToggleButton_GetSheet1Visibility_Реквизиты" label="Реквизиты" onAction="Отображение_Реквизиты" imageMso="ObjectEditText" getPressed="GetSheet1Visibility_Реквизиты" keytip="Z" screentip="Отобразить реквизиты"/>
          <toggleButton id="ToggleButton_GetSheet1Visibility_Люди" label="Люди" onAction="Отображение_Люди" imageMso="GroupAssignments" getPressed="GetSheet1Visibility_Люди" keytip="Z" screentip="Отобразить Люди"/>
          <toggleButton id="ToggleButton_GetSheet1Visibility_ЖВК" label="Журналы" onAction="Отображение_ЖВК" imageMso="GotoJournal" getPressed="GetSheet1Visibility_ЖВК" keytip="Z" screentip="Отобразить спец.журналы"/>
          <toggleButton id="ToggleButton_GetSheet1Visibility_НТД" label="НТД" onAction="Отображение_НТД" getPressed="GetSheet1Visibility_НТД" imageMso="AddRulesMenu" keytip="Z" screentip="Отобразить нормативно-технической документации"/>
          <toggleButton id="ToggleButton_GetSheet1Visibility_Доп_акты" label="Доп.акты" onAction="Отображение_Доп_Акты" getPressed="GetSheet1Visibility_Доп_акты" imageMso="CreateDocumentLibrary" keytip="Z" screentip="Отобразить дополнительные акты"/>
          <toggleButton id="ToggleButton_GetSheet1Visibility_Материалы" label="Материалы" onAction="Отображение_Материалы" getPressed="GetSheet1Visibility_Материалы" imageMso="MaterialResourceInsert" keytip="Z" screentip="Отобразить Материалы"/>
          <toggleButton id="ToggleButton_GetSheet1Visibility_Исп_схемы" label="Исп.схемы" onAction="Отображение_Исп_схемы" getPressed="GetSheet1Visibility_Исп_схемы" imageMso="GroupBordersAndShading" keytip="Z" screentip="Отобразить Исп.схемы"/>
          <toggleButton id="ToggleButton_GetSheet1Visibility_Протоколы" label="Протоколы" onAction="Отображение_Протоколы" getPressed="GetSheet1Visibility_Протоколы" imageMso="PivotTableRepeatItemLabels" keytip="Z" screentip="Отобразить Протоколы"/>
        </group>
        <group id="DynamicGroup4" label="Акты" image="logo">
          <!-- Кнопки актов (видны только на листе "База актов") -->
          <button id="button_создание_всех_новый" label="Создать группу актов" onAction="создание_всех_новый" getVisible="IsButton1Visible" size="large" imageMso="RunRulesNow" screentip="Создать все акты" keytip="B1"/>
          <button id="button_создание_выбранного_новый" label="Создать выбранный акт" onAction="создание_выбранного_новый" getVisible="IsButton1Visible" size="large" imageMso="RulesOnSubmit" screentip="Поместите курсор на строку акта и нажмите кнопку" keytip="B2"/>
        </group>
        <group id="DynamicGroup_Акты_Импорт" label="Импорт" image="logo">
          <button id="button_fGraphWorksShow" label="Внести акт из графика" onAction="fGraphWorksShow" getVisible="IsButton1Visible" size="large" imageMso="ExportBusinessDataCatalogModel" screentip="Внести акт из графика" keytip="B3"/>
        </group>
        <group id="DynamicGroup5" label="Строки" image="logo">
          <button id="AddOneRowBtn" getVisible="IsButton1Visible" label="Добавить 1 строку" onAction="добавить_строку_в_базу_актов" size="large" imageMso="CellsInsertDialog" screentip="Добавить одну строку в базу актов" keytip="C"/>
          <button id="AddTenRowsBtn" getVisible="IsButton1Visible" label="Добавить 10 строк" onAction="добавить_10_строк_в_базу_актов" size="large" imageMso="ChartSwitchRowColumn" screentip="Добавить 10 строк в базу актов" keytip="D"/>
          <button id="DuplicateRowBtn" getVisible="IsButton1Visible" label="Создать копию строки" onAction="Дубль_акта" size="large" imageMso="Copy" screentip="Создать копию выбранной строки" keytip="E"/>
          <button id="DeleteRowBtn" getVisible="IsButton1Visible" label="Удалить строку" onAction="УдалитьСтрокиАктов" size="large" imageMso="DeleteRows" screentip="Удалить выбранную строку" keytip="G"/>
        </group>
        <group id="DynamicGroup6" label="Материалы" image="logo">
          <!-- Кнопки материалов (видны только на листе "Материлалы") -->
          <button id="button_добавить_материал" label="Добавить материал" onAction="добавить_материал" getVisible="IsButton2Visible" size="large" imageMso="SourceControlAddObjects" screentip="Добавить материал" keytip="B2"/>
          <button id="button_добавить_сертификат" label="Добавить сертификат" onAction="добавить_сертификат" getVisible="IsButton2Visible" size="large" imageMso="TableOfContentsAddTextGallery" screentip="Добавить сертификат" keytip="B2"/>
          <button id="button_УдалитьСтроки" label="Удалить строку" onAction="УдалитьСтроки" getVisible="IsButton2Visible" size="large" imageMso="DeleteRows" screentip="Удалить строки" keytip="B2"/>
          <button id="button_создать_АВК" label="Создать все АВК" onAction="создать_АВК" getVisible="IsButton2Visible" size="large" imageMso="MultiItemFormGallery" screentip="Создать акты входного контроля" keytip="B2"/>
          <button id="button_создать_АВК_выделенный" label="Создать выбранные АВК" onAction="создать_АВК_выделенные" getVisible="IsButton2Visible" size="large" imageMso="RulesOnSubmit" screentip="Создать акты входного контроля" keytip="B2"/>
        </group>
        <group id="DynamicGroup8" label="Доп.акты" image="logo">
          <button id="button_добавить_строку_шаблона_в_таблицу_акты" getVisible="IsButton3Visible" label="Добавить акт в базу актов" onAction="добавить_строку_шаблона_в_таблицу_акты" size="large" imageMso="AdpOutputOperationsAddToOutput" screentip="Добавить одну строку в базу актов" keytip="C"/>
        </group>
        <group id="DynamicGroup7" label="Строки" image="logo">
          <button id="button_добавить_строку_в_шаблон" getVisible="IsButton3Visible" label="Создать 1 строку" onAction="добавить_строку_в_шаблон" size="large" imageMso="CellsInsertDialog" screentip="Добавить одну строку в базу актов" keytip="C"/>
          <button id="button_удалить_строку_из_шаблона" getVisible="IsButton3Visible" label="Удалить строку" onAction="удалить_строку_из_шаблона" size="large" imageMso="DeleteRows" screentip="Удалить выбранную строку" keytip="G"/>
        </group>
        <group id="DynamicGroup9" label="Строки" image="logo">
          <button id="button_добавить_строку_в_базу_схем" getVisible="IsButton4Visible" label="Создать 1 строку" onAction="добавить_строку_в_базу_схем" size="large" imageMso="CellsInsertDialog" screentip="Добавить одну строку в базу схем" keytip="C"/>
          <button id="button_УдалитьСтрокиСхем" getVisible="IsButton4Visible" label="Удалить строку" onAction="УдалитьСтрокиСхем" size="large" imageMso="DeleteRows" screentip="Удалить выбранную строку" keytip="G"/>
        </group>
        <group id="DynamicGroup10" label="Строки" image="logo">
          <button id="button_добавить_строку_в_базу_протоколов" getVisible="IsButton5Visible" label="Создать 1 строку" onAction="добавить_строку_в_базу_протоколов" size="large" imageMso="CellsInsertDialog" screentip="Добавить одну строку в базу протоколов" keytip="C"/>
          <button id="button_УдалитьСтрокиПротоколов" getVisible="IsButton5Visible" label="Удалить строку" onAction="УдалитьСтрокиПротоколов" size="large" imageMso="DeleteRows" screentip="Удалить выбранную строку" keytip="G"/>
        </group>
      </tab>
    </tabs>
  </ribbon>
</customUI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189D6-0BFC-49FF-B1EF-24A9ACA52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74</vt:i4>
      </vt:variant>
    </vt:vector>
  </HeadingPairs>
  <TitlesOfParts>
    <vt:vector size="104" baseType="lpstr">
      <vt:lpstr>i</vt:lpstr>
      <vt:lpstr>Реквизиты</vt:lpstr>
      <vt:lpstr>Люди</vt:lpstr>
      <vt:lpstr>ГрафикИтог</vt:lpstr>
      <vt:lpstr>Настройки</vt:lpstr>
      <vt:lpstr>База актов</vt:lpstr>
      <vt:lpstr>Материалы</vt:lpstr>
      <vt:lpstr>Исп.схемы</vt:lpstr>
      <vt:lpstr>Протоколы</vt:lpstr>
      <vt:lpstr>РД</vt:lpstr>
      <vt:lpstr>Реестр ИД</vt:lpstr>
      <vt:lpstr>Шаблон</vt:lpstr>
      <vt:lpstr>Пролив</vt:lpstr>
      <vt:lpstr>АГИ</vt:lpstr>
      <vt:lpstr>АИИО</vt:lpstr>
      <vt:lpstr>ОтЭфД</vt:lpstr>
      <vt:lpstr>Промывка</vt:lpstr>
      <vt:lpstr>АПрОб</vt:lpstr>
      <vt:lpstr>НТД</vt:lpstr>
      <vt:lpstr>т_общие_данные_АВК</vt:lpstr>
      <vt:lpstr>т_АВК</vt:lpstr>
      <vt:lpstr>ЖВЗП</vt:lpstr>
      <vt:lpstr>ЖВК</vt:lpstr>
      <vt:lpstr>qРеестрПоАктам</vt:lpstr>
      <vt:lpstr>qРеестрПоТипам</vt:lpstr>
      <vt:lpstr>qВсеДанныеВАкт</vt:lpstr>
      <vt:lpstr>qАООК</vt:lpstr>
      <vt:lpstr>Справочники</vt:lpstr>
      <vt:lpstr>qПриложенияМатериалы</vt:lpstr>
      <vt:lpstr>qПриложенияСхемыПротоколы</vt:lpstr>
      <vt:lpstr>RibbonPointer</vt:lpstr>
      <vt:lpstr>Шаблон!АВК_в_АОСР</vt:lpstr>
      <vt:lpstr>АВК_ГП_должность</vt:lpstr>
      <vt:lpstr>АВК_должность_иной1</vt:lpstr>
      <vt:lpstr>АВК_Зак_должность</vt:lpstr>
      <vt:lpstr>АВК_код_строительства</vt:lpstr>
      <vt:lpstr>АВК_СК_должность</vt:lpstr>
      <vt:lpstr>адрес_объекта</vt:lpstr>
      <vt:lpstr>АООК_перечислитьМатериалы</vt:lpstr>
      <vt:lpstr>ЖВЗП!Заголовки_для_печати</vt:lpstr>
      <vt:lpstr>Шаблон!мс1</vt:lpstr>
      <vt:lpstr>мс1</vt:lpstr>
      <vt:lpstr>Шаблон!мс10</vt:lpstr>
      <vt:lpstr>мс10</vt:lpstr>
      <vt:lpstr>Шаблон!мс11</vt:lpstr>
      <vt:lpstr>мс11</vt:lpstr>
      <vt:lpstr>Шаблон!мс12</vt:lpstr>
      <vt:lpstr>мс12</vt:lpstr>
      <vt:lpstr>Шаблон!мс13</vt:lpstr>
      <vt:lpstr>мс13</vt:lpstr>
      <vt:lpstr>Шаблон!мс2</vt:lpstr>
      <vt:lpstr>мс2</vt:lpstr>
      <vt:lpstr>Шаблон!мс3</vt:lpstr>
      <vt:lpstr>мс3</vt:lpstr>
      <vt:lpstr>Шаблон!мс4</vt:lpstr>
      <vt:lpstr>мс4</vt:lpstr>
      <vt:lpstr>Шаблон!мс5</vt:lpstr>
      <vt:lpstr>мс5</vt:lpstr>
      <vt:lpstr>Шаблон!мс6</vt:lpstr>
      <vt:lpstr>мс6</vt:lpstr>
      <vt:lpstr>Шаблон!мс7</vt:lpstr>
      <vt:lpstr>мс7</vt:lpstr>
      <vt:lpstr>Шаблон!мс8</vt:lpstr>
      <vt:lpstr>мс8</vt:lpstr>
      <vt:lpstr>Шаблон!мс9</vt:lpstr>
      <vt:lpstr>мс9</vt:lpstr>
      <vt:lpstr>Шаблон!название_объекта</vt:lpstr>
      <vt:lpstr>название_объекта</vt:lpstr>
      <vt:lpstr>название_объекта_АВК</vt:lpstr>
      <vt:lpstr>наименование_генподрядчика</vt:lpstr>
      <vt:lpstr>наименование_заказчика</vt:lpstr>
      <vt:lpstr>наименование_подрядчика</vt:lpstr>
      <vt:lpstr>наименование_проектировщика</vt:lpstr>
      <vt:lpstr>НАСТР_АВК_в_АОСР</vt:lpstr>
      <vt:lpstr>НАСТР_АВК_из_актов</vt:lpstr>
      <vt:lpstr>НАСТР_АВК_название</vt:lpstr>
      <vt:lpstr>НАСТР_блокировка_Актов</vt:lpstr>
      <vt:lpstr>НАСТР_блокировка_Материалов</vt:lpstr>
      <vt:lpstr>НАСТР_мат_АООК</vt:lpstr>
      <vt:lpstr>НАСТР_назв_мат_п3</vt:lpstr>
      <vt:lpstr>Шаблон!НАСТР_названия_мат_прил</vt:lpstr>
      <vt:lpstr>НАСТР_названия_мат_прил</vt:lpstr>
      <vt:lpstr>НАСТР_ОКНО_МАТ</vt:lpstr>
      <vt:lpstr>Шаблон!НАСТР_Создать_ПДФ</vt:lpstr>
      <vt:lpstr>НАСТР_Создать_ПДФ</vt:lpstr>
      <vt:lpstr>НАСТР_страниц_прил</vt:lpstr>
      <vt:lpstr>НАСТР_удал_АН</vt:lpstr>
      <vt:lpstr>НАСТР_удал_ГП</vt:lpstr>
      <vt:lpstr>НАСТР_удал_Иное</vt:lpstr>
      <vt:lpstr>НАСТР_удал_Подр</vt:lpstr>
      <vt:lpstr>НАСТР_удал_СКГП</vt:lpstr>
      <vt:lpstr>реквизиты_генподрядчика</vt:lpstr>
      <vt:lpstr>реквизиты_заказчика</vt:lpstr>
      <vt:lpstr>реквизиты_подрядчика</vt:lpstr>
      <vt:lpstr>реквизиты_проектировщика</vt:lpstr>
      <vt:lpstr>СоздатьРеестрМатАОСР</vt:lpstr>
      <vt:lpstr>СоздатьРеестрПрилАОСР</vt:lpstr>
      <vt:lpstr>СоздатьРеестрСхемАООК_АОСР</vt:lpstr>
      <vt:lpstr>ФИО_ГП_АВК</vt:lpstr>
      <vt:lpstr>ФИО_Зак_АВК</vt:lpstr>
      <vt:lpstr>ФИО_Ин1_АВК</vt:lpstr>
      <vt:lpstr>Шаблон!ФИО_подписантов</vt:lpstr>
      <vt:lpstr>ФИО_подписантов</vt:lpstr>
      <vt:lpstr>ФИО_СК_АВК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Волобуев</dc:creator>
  <cp:lastModifiedBy>Панин</cp:lastModifiedBy>
  <cp:lastPrinted>2024-08-23T08:59:10Z</cp:lastPrinted>
  <dcterms:created xsi:type="dcterms:W3CDTF">2022-03-07T12:08:53Z</dcterms:created>
  <dcterms:modified xsi:type="dcterms:W3CDTF">2026-04-07T07:04:17Z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bbonPointer">
    <vt:lpwstr>2014528714448</vt:lpwstr>
  </property>
</Properties>
</file>